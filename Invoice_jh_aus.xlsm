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ll\Documents\IMP_EXCEL_GITHUB\IMP_EXCEL\"/>
    </mc:Choice>
  </mc:AlternateContent>
  <xr:revisionPtr revIDLastSave="0" documentId="13_ncr:1_{9B4ADD5B-ABE5-43A2-90BD-9927B24B1EDA}" xr6:coauthVersionLast="45" xr6:coauthVersionMax="45" xr10:uidLastSave="{00000000-0000-0000-0000-000000000000}"/>
  <bookViews>
    <workbookView xWindow="-108" yWindow="-108" windowWidth="23256" windowHeight="12576" xr2:uid="{0BC41D62-8627-4829-A559-093381056845}"/>
  </bookViews>
  <sheets>
    <sheet name="INVOICE" sheetId="1" r:id="rId1"/>
    <sheet name="PATIENT_DETAILS" sheetId="2" r:id="rId2"/>
    <sheet name="ALL_PRODUCTS" sheetId="3" r:id="rId3"/>
    <sheet name="LAST_DATA" sheetId="6" state="hidden" r:id="rId4"/>
    <sheet name="INVOICE_BACKUP" sheetId="7" state="hidden" r:id="rId5"/>
  </sheets>
  <definedNames>
    <definedName name="all_p">ALL_PRODUCTS!$A$2:$A$46</definedName>
    <definedName name="all_p2">ALL_PRODUCTS!$A$2:$B$46</definedName>
    <definedName name="p_mode">LAST_DATA!$A$7:$A$8</definedName>
    <definedName name="payment_mode" localSheetId="4">INVOICE_BACKUP!$B$22,INVOICE_BACKUP!$B$23</definedName>
    <definedName name="payment_mode">INVOICE!$B$22,INVOICE!$B$23</definedName>
    <definedName name="_xlnm.Print_Area" localSheetId="0">INVOICE!$A$1:$I$32</definedName>
    <definedName name="_xlnm.Print_Area" localSheetId="4">INVOICE_BACKUP!$A$1:$I$32</definedName>
    <definedName name="_xlnm.Print_Area" localSheetId="1">PATIENT_DETAILS!$A$1:$P$11</definedName>
    <definedName name="Z_8DC053BE_EB89_4885_89A0_24C42D97A77D_.wvu.PrintArea" localSheetId="0" hidden="1">INVOICE!$A$1:$J$32</definedName>
    <definedName name="Z_8DC053BE_EB89_4885_89A0_24C42D97A77D_.wvu.PrintArea" localSheetId="4" hidden="1">INVOICE_BACKUP!$A$1:$J$32</definedName>
    <definedName name="Z_8DC053BE_EB89_4885_89A0_24C42D97A77D_.wvu.PrintArea" localSheetId="1" hidden="1">PATIENT_DETAILS!$A$1:$P$11</definedName>
    <definedName name="Z_8FE8D380_9834_4D13_8274_5A880500ABE9_.wvu.Cols" localSheetId="1" hidden="1">PATIENT_DETAILS!$A:$A</definedName>
    <definedName name="Z_8FE8D380_9834_4D13_8274_5A880500ABE9_.wvu.PrintArea" localSheetId="0" hidden="1">INVOICE!$A$1:$J$32</definedName>
    <definedName name="Z_8FE8D380_9834_4D13_8274_5A880500ABE9_.wvu.PrintArea" localSheetId="4" hidden="1">INVOICE_BACKUP!$A$1:$J$32</definedName>
    <definedName name="Z_8FE8D380_9834_4D13_8274_5A880500ABE9_.wvu.PrintArea" localSheetId="1" hidden="1">PATIENT_DETAILS!$A$1:$P$11</definedName>
    <definedName name="Z_FFE8592F_0ABA_4B06_8608_574265821AC0_.wvu.Cols" localSheetId="1" hidden="1">PATIENT_DETAILS!$A:$A</definedName>
    <definedName name="Z_FFE8592F_0ABA_4B06_8608_574265821AC0_.wvu.PrintArea" localSheetId="0" hidden="1">INVOICE!$A$1:$J$32</definedName>
    <definedName name="Z_FFE8592F_0ABA_4B06_8608_574265821AC0_.wvu.PrintArea" localSheetId="4" hidden="1">INVOICE_BACKUP!$A$1:$J$32</definedName>
    <definedName name="Z_FFE8592F_0ABA_4B06_8608_574265821AC0_.wvu.PrintArea" localSheetId="1" hidden="1">PATIENT_DETAILS!$A$1:$P$11</definedName>
    <definedName name="Z_FFE8592F_0ABA_4B06_8608_574265821AC0_.wvu.Rows" localSheetId="1" hidden="1">PATIENT_DETAILS!$1:$1</definedName>
  </definedNames>
  <calcPr calcId="181029"/>
  <customWorkbookViews>
    <customWorkbookView name="talib" guid="{8DC053BE-EB89-4885-89A0-24C42D97A77D}" maximized="1" xWindow="-9" yWindow="-9" windowWidth="1938" windowHeight="1048" activeSheetId="2"/>
    <customWorkbookView name="mark" guid="{8FE8D380-9834-4D13-8274-5A880500ABE9}" maximized="1" xWindow="-9" yWindow="-9" windowWidth="1938" windowHeight="1048" activeSheetId="2"/>
    <customWorkbookView name="shark" guid="{FFE8592F-0ABA-4B06-8608-574265821AC0}" maximized="1" xWindow="-9" yWindow="-9" windowWidth="1938" windowHeight="1048" activeSheetId="2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7" i="3" l="1"/>
  <c r="M2" i="1" l="1"/>
  <c r="M2" i="7"/>
</calcChain>
</file>

<file path=xl/sharedStrings.xml><?xml version="1.0" encoding="utf-8"?>
<sst xmlns="http://schemas.openxmlformats.org/spreadsheetml/2006/main" count="378" uniqueCount="231">
  <si>
    <t>Invoice</t>
  </si>
  <si>
    <t>Jharkhand Aushadhalaya</t>
  </si>
  <si>
    <t>www.jharkhandaushadhalaya.com</t>
  </si>
  <si>
    <t>QTY</t>
  </si>
  <si>
    <t>GRAND TOTAL</t>
  </si>
  <si>
    <t>PATIENT NAME</t>
  </si>
  <si>
    <t>SL.NO</t>
  </si>
  <si>
    <t>INVOICE NO</t>
  </si>
  <si>
    <t>DATE</t>
  </si>
  <si>
    <t>P-CODE</t>
  </si>
  <si>
    <t>PROUDUCT</t>
  </si>
  <si>
    <t>UNIT-COST</t>
  </si>
  <si>
    <t>GST</t>
  </si>
  <si>
    <t>PRODUCT CODE</t>
  </si>
  <si>
    <t>PRODUCT</t>
  </si>
  <si>
    <t>001</t>
  </si>
  <si>
    <t>002</t>
  </si>
  <si>
    <t>003</t>
  </si>
  <si>
    <t>004</t>
  </si>
  <si>
    <t>005</t>
  </si>
  <si>
    <t>006</t>
  </si>
  <si>
    <t>007</t>
  </si>
  <si>
    <t>008</t>
  </si>
  <si>
    <t>009</t>
  </si>
  <si>
    <t>0010</t>
  </si>
  <si>
    <t>0011</t>
  </si>
  <si>
    <t>0012</t>
  </si>
  <si>
    <t>0013</t>
  </si>
  <si>
    <t>0014</t>
  </si>
  <si>
    <t>0015</t>
  </si>
  <si>
    <t>0016</t>
  </si>
  <si>
    <t>0017</t>
  </si>
  <si>
    <t>0018</t>
  </si>
  <si>
    <t>0019</t>
  </si>
  <si>
    <t>0020</t>
  </si>
  <si>
    <t>0021</t>
  </si>
  <si>
    <t>0022</t>
  </si>
  <si>
    <t>0023</t>
  </si>
  <si>
    <t>0024</t>
  </si>
  <si>
    <t>0025</t>
  </si>
  <si>
    <t>0026</t>
  </si>
  <si>
    <t>0027</t>
  </si>
  <si>
    <t>0028</t>
  </si>
  <si>
    <t>0029</t>
  </si>
  <si>
    <t>0030</t>
  </si>
  <si>
    <t>0031</t>
  </si>
  <si>
    <t>0032</t>
  </si>
  <si>
    <t>0033</t>
  </si>
  <si>
    <t>0034</t>
  </si>
  <si>
    <t>0035</t>
  </si>
  <si>
    <t>0036</t>
  </si>
  <si>
    <t>0037</t>
  </si>
  <si>
    <t>0038</t>
  </si>
  <si>
    <t>0039</t>
  </si>
  <si>
    <t>0040</t>
  </si>
  <si>
    <t>0041</t>
  </si>
  <si>
    <t>0042</t>
  </si>
  <si>
    <t>0043</t>
  </si>
  <si>
    <t>0044</t>
  </si>
  <si>
    <t>0045</t>
  </si>
  <si>
    <t>PNG</t>
  </si>
  <si>
    <t>PNR</t>
  </si>
  <si>
    <t>AJ100</t>
  </si>
  <si>
    <t>NBP</t>
  </si>
  <si>
    <t>HC</t>
  </si>
  <si>
    <t>NGT</t>
  </si>
  <si>
    <t>JKN</t>
  </si>
  <si>
    <t>ANANDAM</t>
  </si>
  <si>
    <t>GMSG</t>
  </si>
  <si>
    <t>MASIHI(P)</t>
  </si>
  <si>
    <t>SUGAR(P)</t>
  </si>
  <si>
    <t>MSG(P)</t>
  </si>
  <si>
    <t>MSG(G)</t>
  </si>
  <si>
    <t>DAMA(P)</t>
  </si>
  <si>
    <t>KB100</t>
  </si>
  <si>
    <t>MASIHI AIL</t>
  </si>
  <si>
    <t>PLANE AIL</t>
  </si>
  <si>
    <t>LIKO</t>
  </si>
  <si>
    <t>MKP</t>
  </si>
  <si>
    <t>HEPTA</t>
  </si>
  <si>
    <t>ENT</t>
  </si>
  <si>
    <t>ASTHM</t>
  </si>
  <si>
    <t>DTP</t>
  </si>
  <si>
    <t>AVR</t>
  </si>
  <si>
    <t>9B100</t>
  </si>
  <si>
    <t>TUMAR</t>
  </si>
  <si>
    <t>ALCOHAL</t>
  </si>
  <si>
    <t>Y</t>
  </si>
  <si>
    <t>BR</t>
  </si>
  <si>
    <t>TH</t>
  </si>
  <si>
    <t>KABJ CURE</t>
  </si>
  <si>
    <t>KG</t>
  </si>
  <si>
    <t>MADHUMENTA</t>
  </si>
  <si>
    <t>LIPO+</t>
  </si>
  <si>
    <t>EAR DROP</t>
  </si>
  <si>
    <t>AMRIT DHARA</t>
  </si>
  <si>
    <t>PILES CARE</t>
  </si>
  <si>
    <t>NARI CARE</t>
  </si>
  <si>
    <t>RHEUMATO</t>
  </si>
  <si>
    <t>STONE CUTTER</t>
  </si>
  <si>
    <t>NEW KABJ CURE</t>
  </si>
  <si>
    <t>KIDNEY CURE</t>
  </si>
  <si>
    <t>SKIN CARE</t>
  </si>
  <si>
    <t>CPV</t>
  </si>
  <si>
    <t>MAJUM(B)</t>
  </si>
  <si>
    <t>TOTAL</t>
  </si>
  <si>
    <t>PRODUCTS</t>
  </si>
  <si>
    <t>USER-ID</t>
  </si>
  <si>
    <t>New garden siram toli chowk near sarna maidan Ranchi, 834010, jharkhand</t>
  </si>
  <si>
    <t>INVOICE NO:</t>
  </si>
  <si>
    <t>DATE :</t>
  </si>
  <si>
    <t>22-02-2021</t>
  </si>
  <si>
    <t>PATIENT DETAILS</t>
  </si>
  <si>
    <t xml:space="preserve">mob1: </t>
  </si>
  <si>
    <t>mob2:</t>
  </si>
  <si>
    <t>A9564654644</t>
  </si>
  <si>
    <t>A4646466464</t>
  </si>
  <si>
    <t xml:space="preserve">email: </t>
  </si>
  <si>
    <t>abc@gmail.com</t>
  </si>
  <si>
    <t>CASH</t>
  </si>
  <si>
    <t>झार्ख्न्द औशाधालय के द्वारा दी गई सारी दवाईयो को मै बिना किसी दबाव के अपनी सहमती से ले रहा हूँ</t>
  </si>
  <si>
    <t>Created By</t>
  </si>
  <si>
    <t>00583</t>
  </si>
  <si>
    <t>NET AMOUNT</t>
  </si>
  <si>
    <t>markus</t>
  </si>
  <si>
    <t>loop_row</t>
  </si>
  <si>
    <t>range_var2</t>
  </si>
  <si>
    <t>last_invoice no</t>
  </si>
  <si>
    <t>shark</t>
  </si>
  <si>
    <t>nishat</t>
  </si>
  <si>
    <t>STONE CUTTERMSG(P)</t>
  </si>
  <si>
    <t>,MSG(P),MAJUM(B)</t>
  </si>
  <si>
    <t>DTP, ASTHM</t>
  </si>
  <si>
    <t>check is not allowed</t>
  </si>
  <si>
    <t>johnny</t>
  </si>
  <si>
    <t>ABDULAH</t>
  </si>
  <si>
    <t>Johnny</t>
  </si>
  <si>
    <t>FANTASTIC</t>
  </si>
  <si>
    <t>whatever</t>
  </si>
  <si>
    <t>superman</t>
  </si>
  <si>
    <t>thor</t>
  </si>
  <si>
    <t>MSG(G), ASTHM, DTP</t>
  </si>
  <si>
    <t>luko</t>
  </si>
  <si>
    <t>marus</t>
  </si>
  <si>
    <t>john</t>
  </si>
  <si>
    <t>spider man</t>
  </si>
  <si>
    <t>fast</t>
  </si>
  <si>
    <t>slow</t>
  </si>
  <si>
    <t>banner</t>
  </si>
  <si>
    <t>captain america</t>
  </si>
  <si>
    <t>luki</t>
  </si>
  <si>
    <t>thanos</t>
  </si>
  <si>
    <t>ant man</t>
  </si>
  <si>
    <t>ASTHM, DTP</t>
  </si>
  <si>
    <t>wings0</t>
  </si>
  <si>
    <t>legs</t>
  </si>
  <si>
    <t>Bob</t>
  </si>
  <si>
    <t>Talib</t>
  </si>
  <si>
    <t>ASTHM, Y</t>
  </si>
  <si>
    <t>Galib</t>
  </si>
  <si>
    <t>ASTHM, KABJ CURE</t>
  </si>
  <si>
    <t>ITEM IN STOCK</t>
  </si>
  <si>
    <t>martin</t>
  </si>
  <si>
    <t>NO. OF ITEM</t>
  </si>
  <si>
    <t>maz</t>
  </si>
  <si>
    <t>blaze</t>
  </si>
  <si>
    <t>ASTHM, DTP, STONE CUTTER</t>
  </si>
  <si>
    <t>spiderman</t>
  </si>
  <si>
    <t>ASTHM, MSG(P)</t>
  </si>
  <si>
    <t>luthor</t>
  </si>
  <si>
    <t>PNG, HC</t>
  </si>
  <si>
    <t>amar toppo</t>
  </si>
  <si>
    <t>PNG, ASTHM</t>
  </si>
  <si>
    <t>JKN, PNG, JKN</t>
  </si>
  <si>
    <t>jljljlj</t>
  </si>
  <si>
    <t>mohsin</t>
  </si>
  <si>
    <t>praise</t>
  </si>
  <si>
    <t>second</t>
  </si>
  <si>
    <t>mark</t>
  </si>
  <si>
    <t>finder</t>
  </si>
  <si>
    <t>fransisco</t>
  </si>
  <si>
    <t>JKN, ANANDAM</t>
  </si>
  <si>
    <t>ADDRESS</t>
  </si>
  <si>
    <t>kulbhushan</t>
  </si>
  <si>
    <t>namkum ranchi</t>
  </si>
  <si>
    <t>john cena</t>
  </si>
  <si>
    <t>united states</t>
  </si>
  <si>
    <t>ranchi jharkhand 834010</t>
  </si>
  <si>
    <t>UNDERTAKER</t>
  </si>
  <si>
    <t>namkum bahubazar ranchi</t>
  </si>
  <si>
    <t>MODE OF PAYMENT</t>
  </si>
  <si>
    <t>ONLINE</t>
  </si>
  <si>
    <t>ranchi</t>
  </si>
  <si>
    <t>fraaa</t>
  </si>
  <si>
    <t>Total</t>
  </si>
  <si>
    <t>Discount</t>
  </si>
  <si>
    <t>Final Total</t>
  </si>
  <si>
    <t>john helo</t>
  </si>
  <si>
    <t>ranchi jharkhand</t>
  </si>
  <si>
    <t>PRACHI DESAI</t>
  </si>
  <si>
    <t>LOHARDAGA</t>
  </si>
  <si>
    <t>LDFJLJ</t>
  </si>
  <si>
    <t>FLDJFLLF</t>
  </si>
  <si>
    <t>LAFJLJ</t>
  </si>
  <si>
    <t>FLDJFL</t>
  </si>
  <si>
    <t>MARTIN</t>
  </si>
  <si>
    <t>USA</t>
  </si>
  <si>
    <t>LDFJL</t>
  </si>
  <si>
    <t>FJFLD</t>
  </si>
  <si>
    <t>AJ100, MKP</t>
  </si>
  <si>
    <t>fldjfl</t>
  </si>
  <si>
    <t>fldj</t>
  </si>
  <si>
    <t>fjldjl</t>
  </si>
  <si>
    <t>fjldjlf</t>
  </si>
  <si>
    <t>jlfdlfj</t>
  </si>
  <si>
    <t>HC, AJ100, ANANDAM</t>
  </si>
  <si>
    <t>afldlfj</t>
  </si>
  <si>
    <t>fjdfjjfl</t>
  </si>
  <si>
    <t>GMSG, EAR DROP</t>
  </si>
  <si>
    <t>fjlfjld</t>
  </si>
  <si>
    <t>fldkf</t>
  </si>
  <si>
    <t>JKN, NEW KABJ CURE, ENT</t>
  </si>
  <si>
    <t>fjjfl</t>
  </si>
  <si>
    <t>fdfjl</t>
  </si>
  <si>
    <t>NO. OF ITEM IN STOCK</t>
  </si>
  <si>
    <t>JFLDJFL</t>
  </si>
  <si>
    <t>FLDFL</t>
  </si>
  <si>
    <t>JDFLJLDF</t>
  </si>
  <si>
    <t>FJDJFLJF</t>
  </si>
  <si>
    <t>LJLJLJL</t>
  </si>
  <si>
    <t>JLJFLAJFL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</si>
</sst>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8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7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206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rgb="FF00B0F0"/>
      </bottom>
      <diagonal/>
    </border>
    <border>
      <left/>
      <right/>
      <top style="thick">
        <color rgb="FF00B0F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B0F0"/>
      </left>
      <right/>
      <top/>
      <bottom style="thick">
        <color rgb="FF00B0F0"/>
      </bottom>
      <diagonal/>
    </border>
    <border>
      <left/>
      <right style="thick">
        <color rgb="FF00B0F0"/>
      </right>
      <top/>
      <bottom style="thick">
        <color rgb="FF00B0F0"/>
      </bottom>
      <diagonal/>
    </border>
    <border>
      <left style="thin">
        <color rgb="FF00B0F0"/>
      </left>
      <right/>
      <top style="thick">
        <color rgb="FF00B0F0"/>
      </top>
      <bottom/>
      <diagonal/>
    </border>
    <border>
      <left/>
      <right style="thick">
        <color rgb="FF00B0F0"/>
      </right>
      <top style="thick">
        <color rgb="FF00B0F0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theme="2"/>
      </top>
      <bottom/>
      <diagonal/>
    </border>
    <border>
      <left/>
      <right/>
      <top style="thin">
        <color theme="2"/>
      </top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67">
    <xf numFmtId="0" fontId="0" fillId="0" borderId="0" xfId="0"/>
    <xf numFmtId="0" fontId="0" fillId="0" borderId="0" xfId="0" applyAlignment="1">
      <alignment horizontal="center"/>
    </xf>
    <xf numFmtId="0" fontId="6" fillId="4" borderId="0" xfId="0" applyFont="1" applyFill="1" applyAlignment="1">
      <alignment horizontal="center"/>
    </xf>
    <xf numFmtId="0" fontId="0" fillId="0" borderId="0" xfId="0" applyProtection="1">
      <protection locked="0"/>
    </xf>
    <xf numFmtId="0" fontId="0" fillId="0" borderId="0" xfId="0" applyProtection="1"/>
    <xf numFmtId="0" fontId="0" fillId="0" borderId="2" xfId="0" applyBorder="1" applyProtection="1"/>
    <xf numFmtId="14" fontId="0" fillId="0" borderId="0" xfId="0" applyNumberFormat="1" applyAlignment="1" applyProtection="1">
      <alignment horizontal="left"/>
    </xf>
    <xf numFmtId="49" fontId="0" fillId="0" borderId="0" xfId="0" applyNumberFormat="1" applyAlignment="1">
      <alignment horizontal="center"/>
    </xf>
    <xf numFmtId="0" fontId="6" fillId="4" borderId="0" xfId="0" applyFont="1" applyFill="1" applyAlignment="1">
      <alignment horizontal="center" vertical="center"/>
    </xf>
    <xf numFmtId="0" fontId="6" fillId="4" borderId="0" xfId="0" applyFont="1" applyFill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5" fillId="0" borderId="3" xfId="0" applyFont="1" applyBorder="1" applyAlignment="1" applyProtection="1">
      <alignment horizontal="center"/>
    </xf>
    <xf numFmtId="0" fontId="0" fillId="0" borderId="0" xfId="0" applyBorder="1" applyProtection="1"/>
    <xf numFmtId="0" fontId="0" fillId="0" borderId="0" xfId="0" applyAlignment="1" applyProtection="1">
      <alignment wrapText="1"/>
    </xf>
    <xf numFmtId="0" fontId="9" fillId="0" borderId="0" xfId="0" applyFont="1" applyAlignment="1" applyProtection="1"/>
    <xf numFmtId="0" fontId="10" fillId="0" borderId="0" xfId="0" applyFont="1" applyProtection="1"/>
    <xf numFmtId="14" fontId="10" fillId="0" borderId="0" xfId="0" applyNumberFormat="1" applyFont="1" applyAlignment="1" applyProtection="1"/>
    <xf numFmtId="0" fontId="5" fillId="0" borderId="0" xfId="0" applyFont="1" applyBorder="1" applyAlignment="1" applyProtection="1">
      <alignment horizontal="center"/>
    </xf>
    <xf numFmtId="14" fontId="0" fillId="0" borderId="0" xfId="0" applyNumberFormat="1" applyAlignment="1">
      <alignment horizontal="center" vertical="center"/>
    </xf>
    <xf numFmtId="0" fontId="0" fillId="0" borderId="0" xfId="0" applyBorder="1"/>
    <xf numFmtId="0" fontId="0" fillId="0" borderId="0" xfId="0" applyProtection="1"/>
    <xf numFmtId="0" fontId="0" fillId="0" borderId="0" xfId="0" applyProtection="1"/>
    <xf numFmtId="0" fontId="0" fillId="0" borderId="0" xfId="0" applyAlignment="1" applyProtection="1">
      <alignment horizontal="left" vertical="top" wrapText="1"/>
    </xf>
    <xf numFmtId="0" fontId="0" fillId="0" borderId="0" xfId="0"/>
    <xf numFmtId="0" fontId="0" fillId="5" borderId="3" xfId="0" applyFont="1" applyFill="1" applyBorder="1" applyProtection="1"/>
    <xf numFmtId="0" fontId="5" fillId="0" borderId="0" xfId="0" applyFont="1"/>
    <xf numFmtId="0" fontId="5" fillId="5" borderId="4" xfId="0" applyFont="1" applyFill="1" applyBorder="1" applyAlignment="1" applyProtection="1"/>
    <xf numFmtId="0" fontId="5" fillId="5" borderId="10" xfId="0" applyFont="1" applyFill="1" applyBorder="1" applyAlignment="1" applyProtection="1"/>
    <xf numFmtId="0" fontId="5" fillId="5" borderId="5" xfId="0" applyFont="1" applyFill="1" applyBorder="1" applyAlignment="1" applyProtection="1"/>
    <xf numFmtId="0" fontId="0" fillId="0" borderId="3" xfId="0" applyBorder="1" applyAlignment="1" applyProtection="1">
      <alignment horizontal="center"/>
    </xf>
    <xf numFmtId="0" fontId="0" fillId="0" borderId="3" xfId="0" applyNumberFormat="1" applyBorder="1" applyAlignment="1" applyProtection="1">
      <alignment horizontal="center"/>
    </xf>
    <xf numFmtId="0" fontId="14" fillId="0" borderId="3" xfId="0" applyFont="1" applyBorder="1" applyAlignment="1" applyProtection="1">
      <alignment horizontal="center"/>
    </xf>
    <xf numFmtId="0" fontId="1" fillId="7" borderId="0" xfId="0" applyFont="1" applyFill="1" applyBorder="1" applyAlignment="1" applyProtection="1">
      <alignment horizontal="center"/>
    </xf>
    <xf numFmtId="0" fontId="1" fillId="7" borderId="11" xfId="0" applyFont="1" applyFill="1" applyBorder="1" applyAlignment="1" applyProtection="1">
      <alignment horizontal="center"/>
    </xf>
    <xf numFmtId="0" fontId="1" fillId="7" borderId="13" xfId="0" applyFont="1" applyFill="1" applyBorder="1" applyAlignment="1" applyProtection="1">
      <alignment horizontal="center"/>
    </xf>
    <xf numFmtId="0" fontId="1" fillId="7" borderId="12" xfId="0" applyFont="1" applyFill="1" applyBorder="1" applyAlignment="1" applyProtection="1">
      <alignment horizontal="center"/>
    </xf>
    <xf numFmtId="0" fontId="13" fillId="7" borderId="13" xfId="0" applyFont="1" applyFill="1" applyBorder="1" applyAlignment="1" applyProtection="1">
      <alignment horizontal="center"/>
    </xf>
    <xf numFmtId="0" fontId="13" fillId="7" borderId="12" xfId="0" applyFont="1" applyFill="1" applyBorder="1" applyAlignment="1" applyProtection="1">
      <alignment horizontal="center"/>
    </xf>
    <xf numFmtId="0" fontId="4" fillId="3" borderId="8" xfId="0" applyFont="1" applyFill="1" applyBorder="1" applyAlignment="1" applyProtection="1">
      <alignment horizontal="center" vertical="center"/>
    </xf>
    <xf numFmtId="0" fontId="4" fillId="3" borderId="9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0" fillId="0" borderId="0" xfId="0" applyAlignment="1" applyProtection="1">
      <alignment horizontal="left" vertical="top" wrapText="1"/>
    </xf>
    <xf numFmtId="0" fontId="5" fillId="0" borderId="0" xfId="0" applyFont="1" applyProtection="1"/>
    <xf numFmtId="49" fontId="0" fillId="0" borderId="0" xfId="0" applyNumberFormat="1" applyAlignment="1" applyProtection="1">
      <alignment horizontal="center"/>
      <protection locked="0"/>
    </xf>
    <xf numFmtId="0" fontId="0" fillId="0" borderId="0" xfId="0" applyProtection="1"/>
    <xf numFmtId="0" fontId="2" fillId="2" borderId="2" xfId="1" applyFont="1" applyFill="1" applyBorder="1" applyAlignment="1" applyProtection="1">
      <alignment horizontal="center" vertical="center"/>
    </xf>
    <xf numFmtId="0" fontId="1" fillId="2" borderId="2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 vertical="center"/>
    </xf>
    <xf numFmtId="0" fontId="4" fillId="2" borderId="2" xfId="0" applyFont="1" applyFill="1" applyBorder="1" applyAlignment="1" applyProtection="1">
      <alignment horizontal="center" vertical="center"/>
    </xf>
    <xf numFmtId="0" fontId="4" fillId="2" borderId="1" xfId="0" applyFont="1" applyFill="1" applyBorder="1" applyAlignment="1" applyProtection="1">
      <alignment horizontal="center" vertical="center"/>
    </xf>
    <xf numFmtId="0" fontId="0" fillId="0" borderId="0" xfId="0" applyAlignment="1" applyProtection="1">
      <alignment vertical="top" wrapText="1"/>
    </xf>
    <xf numFmtId="0" fontId="12" fillId="0" borderId="0" xfId="0" applyFont="1" applyAlignment="1" applyProtection="1">
      <alignment horizontal="center" vertical="center"/>
    </xf>
    <xf numFmtId="0" fontId="11" fillId="6" borderId="0" xfId="0" applyFont="1" applyFill="1" applyAlignment="1" applyProtection="1">
      <alignment horizontal="center" vertical="center"/>
      <protection locked="0"/>
    </xf>
    <xf numFmtId="0" fontId="8" fillId="0" borderId="0" xfId="0" applyFont="1" applyProtection="1"/>
    <xf numFmtId="0" fontId="3" fillId="0" borderId="0" xfId="1" applyProtection="1"/>
    <xf numFmtId="0" fontId="5" fillId="0" borderId="4" xfId="0" applyFont="1" applyBorder="1" applyAlignment="1" applyProtection="1">
      <alignment horizontal="center"/>
    </xf>
    <xf numFmtId="0" fontId="5" fillId="0" borderId="5" xfId="0" applyFont="1" applyBorder="1" applyAlignment="1" applyProtection="1">
      <alignment horizontal="center"/>
    </xf>
    <xf numFmtId="0" fontId="0" fillId="0" borderId="0" xfId="0" applyAlignment="1" applyProtection="1">
      <alignment horizontal="center"/>
    </xf>
    <xf numFmtId="49" fontId="0" fillId="0" borderId="0" xfId="0" applyNumberFormat="1" applyAlignment="1" applyProtection="1">
      <alignment horizontal="center"/>
    </xf>
    <xf numFmtId="0" fontId="11" fillId="6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0" borderId="0" xfId="0"/>
    <xf numFmtId="0" fontId="15" fillId="7" borderId="0" xfId="0" applyFont="1" applyFill="1" applyBorder="1" applyAlignment="1" applyProtection="1">
      <alignment horizontal="center"/>
    </xf>
    <xf numFmtId="0" fontId="15" fillId="7" borderId="0" xfId="0" applyFont="1" applyFill="1" applyBorder="1" applyAlignment="1" applyProtection="1">
      <alignment horizontal="center"/>
    </xf>
    <xf numFmtId="0" fontId="16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119780</xdr:colOff>
      <xdr:row>0</xdr:row>
      <xdr:rowOff>0</xdr:rowOff>
    </xdr:from>
    <xdr:to>
      <xdr:col>8</xdr:col>
      <xdr:colOff>504228</xdr:colOff>
      <xdr:row>2</xdr:row>
      <xdr:rowOff>3718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BAC3EF8-4F11-4705-9EE4-F2DE6A02B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06250" y="0"/>
          <a:ext cx="1113317" cy="388031"/>
        </a:xfrm>
        <a:prstGeom prst="rect">
          <a:avLst/>
        </a:prstGeom>
      </xdr:spPr>
    </xdr:pic>
    <xdr:clientData/>
  </xdr:twoCellAnchor>
  <xdr:twoCellAnchor>
    <xdr:from>
      <xdr:col>11</xdr:col>
      <xdr:colOff>373314</xdr:colOff>
      <xdr:row>11</xdr:row>
      <xdr:rowOff>8966</xdr:rowOff>
    </xdr:from>
    <xdr:to>
      <xdr:col>14</xdr:col>
      <xdr:colOff>514829</xdr:colOff>
      <xdr:row>14</xdr:row>
      <xdr:rowOff>112699</xdr:rowOff>
    </xdr:to>
    <xdr:sp macro="[0]!show_form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DBFE4C79-1B69-4D26-BB74-61462E1BB439}"/>
            </a:ext>
          </a:extLst>
        </xdr:cNvPr>
        <xdr:cNvSpPr/>
      </xdr:nvSpPr>
      <xdr:spPr>
        <a:xfrm>
          <a:off x="7311996" y="2008095"/>
          <a:ext cx="1970315" cy="64161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800"/>
            <a:t>Create Bill</a:t>
          </a:r>
        </a:p>
      </xdr:txBody>
    </xdr:sp>
    <xdr:clientData/>
  </xdr:twoCellAnchor>
  <xdr:twoCellAnchor>
    <xdr:from>
      <xdr:col>14</xdr:col>
      <xdr:colOff>609599</xdr:colOff>
      <xdr:row>11</xdr:row>
      <xdr:rowOff>8965</xdr:rowOff>
    </xdr:from>
    <xdr:to>
      <xdr:col>17</xdr:col>
      <xdr:colOff>89646</xdr:colOff>
      <xdr:row>14</xdr:row>
      <xdr:rowOff>107576</xdr:rowOff>
    </xdr:to>
    <xdr:sp macro="[0]!add_ite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D56A0A5-25A6-4F19-9F45-385FD18B9617}"/>
            </a:ext>
          </a:extLst>
        </xdr:cNvPr>
        <xdr:cNvSpPr/>
      </xdr:nvSpPr>
      <xdr:spPr>
        <a:xfrm>
          <a:off x="9377081" y="2008094"/>
          <a:ext cx="1900518" cy="636494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400" b="1"/>
            <a:t>Add</a:t>
          </a:r>
          <a:r>
            <a:rPr lang="en-IN" sz="2400" b="1" baseline="0"/>
            <a:t> Item</a:t>
          </a:r>
          <a:endParaRPr lang="en-IN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119780</xdr:colOff>
      <xdr:row>0</xdr:row>
      <xdr:rowOff>0</xdr:rowOff>
    </xdr:from>
    <xdr:to>
      <xdr:col>8</xdr:col>
      <xdr:colOff>504228</xdr:colOff>
      <xdr:row>2</xdr:row>
      <xdr:rowOff>3718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F48E19B-4B31-4E16-9943-74ED9C2FC1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01280" y="0"/>
          <a:ext cx="1115968" cy="38471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7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abc@gmail.com" TargetMode="External"/><Relationship Id="rId4" Type="http://schemas.openxmlformats.org/officeDocument/2006/relationships/hyperlink" Target="http://www.jharkhandaushadhalaya.com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4" Type="http://schemas.openxmlformats.org/officeDocument/2006/relationships/printerSettings" Target="../printerSettings/printerSettings8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hyperlink" Target="mailto:abc@gmail.com" TargetMode="External"/><Relationship Id="rId1" Type="http://schemas.openxmlformats.org/officeDocument/2006/relationships/hyperlink" Target="http://www.jharkhandaushadhalaya.com/" TargetMode="External"/><Relationship Id="rId4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9E308-1137-4589-8FB1-CA11DC5E62C5}">
  <sheetPr codeName="stb_2"/>
  <dimension ref="A1:Q32"/>
  <sheetViews>
    <sheetView showGridLines="0" showRowColHeaders="0" tabSelected="1" zoomScale="85" zoomScaleNormal="85" workbookViewId="0">
      <selection activeCell="Q19" sqref="Q19"/>
    </sheetView>
  </sheetViews>
  <sheetFormatPr defaultRowHeight="14.4" x14ac:dyDescent="0.3"/>
  <cols>
    <col min="1" max="1" width="6.77734375" style="3" customWidth="1"/>
    <col min="2" max="2" width="8.88671875" style="3"/>
    <col min="3" max="3" width="12.33203125" style="3" bestFit="1" customWidth="1"/>
    <col min="4" max="4" width="8.88671875" style="3"/>
    <col min="5" max="5" width="7.109375" style="3" customWidth="1"/>
    <col min="6" max="6" width="10.88671875" style="3" customWidth="1"/>
    <col min="7" max="7" width="9" style="3" customWidth="1"/>
    <col min="8" max="8" width="10.6640625" style="3" customWidth="1"/>
    <col min="9" max="13" width="8.88671875" style="3"/>
    <col min="14" max="14" width="8.88671875" style="3" customWidth="1"/>
    <col min="15" max="16" width="8.88671875" style="3"/>
    <col min="17" max="17" width="17.5546875" style="3" customWidth="1"/>
    <col min="18" max="16384" width="8.88671875" style="3"/>
  </cols>
  <sheetData>
    <row r="1" spans="1:17" ht="15" customHeight="1" thickTop="1" x14ac:dyDescent="0.3">
      <c r="A1" s="50" t="s">
        <v>0</v>
      </c>
      <c r="B1" s="47" t="s">
        <v>2</v>
      </c>
      <c r="C1" s="48"/>
      <c r="D1" s="48"/>
      <c r="E1" s="48"/>
      <c r="F1" s="48"/>
      <c r="G1" s="48"/>
      <c r="H1" s="39"/>
      <c r="I1" s="40"/>
      <c r="J1"/>
    </row>
    <row r="2" spans="1:17" ht="15" customHeight="1" thickBot="1" x14ac:dyDescent="0.35">
      <c r="A2" s="51"/>
      <c r="B2" s="49"/>
      <c r="C2" s="49"/>
      <c r="D2" s="49"/>
      <c r="E2" s="49"/>
      <c r="F2" s="49"/>
      <c r="G2" s="49"/>
      <c r="H2" s="41"/>
      <c r="I2" s="42"/>
      <c r="J2" s="20"/>
      <c r="L2"/>
      <c r="M2" s="66">
        <f>ALL_PRODUCTS!H7</f>
        <v>864</v>
      </c>
      <c r="N2" s="66"/>
      <c r="O2" s="66"/>
      <c r="P2" s="66"/>
      <c r="Q2" s="66"/>
    </row>
    <row r="3" spans="1:17" ht="15" thickTop="1" x14ac:dyDescent="0.3">
      <c r="A3" s="4"/>
      <c r="B3" s="4"/>
      <c r="C3" s="5"/>
      <c r="D3" s="4"/>
      <c r="E3" s="5"/>
      <c r="F3" s="5"/>
      <c r="G3" s="4"/>
      <c r="H3" s="4"/>
      <c r="I3" s="4"/>
      <c r="J3" s="13"/>
      <c r="L3"/>
      <c r="M3" s="66"/>
      <c r="N3" s="66"/>
      <c r="O3" s="66"/>
      <c r="P3" s="66"/>
      <c r="Q3" s="66"/>
    </row>
    <row r="4" spans="1:17" x14ac:dyDescent="0.3">
      <c r="A4" s="44" t="s">
        <v>1</v>
      </c>
      <c r="B4" s="44"/>
      <c r="C4" s="44"/>
      <c r="D4" s="4"/>
      <c r="E4" s="4"/>
      <c r="F4" s="4"/>
      <c r="G4" s="16" t="s">
        <v>113</v>
      </c>
      <c r="H4" s="46" t="s">
        <v>115</v>
      </c>
      <c r="I4" s="46"/>
      <c r="M4" s="66"/>
      <c r="N4" s="66"/>
      <c r="O4" s="66"/>
      <c r="P4" s="66"/>
      <c r="Q4" s="66"/>
    </row>
    <row r="5" spans="1:17" x14ac:dyDescent="0.3">
      <c r="A5" s="52" t="s">
        <v>108</v>
      </c>
      <c r="B5" s="52"/>
      <c r="C5" s="52"/>
      <c r="D5" s="52"/>
      <c r="E5" s="4"/>
      <c r="F5" s="4"/>
      <c r="G5" s="16" t="s">
        <v>114</v>
      </c>
      <c r="H5" s="46" t="s">
        <v>116</v>
      </c>
      <c r="I5" s="46"/>
      <c r="M5" s="66"/>
      <c r="N5" s="66"/>
      <c r="O5" s="66"/>
      <c r="P5" s="66"/>
      <c r="Q5" s="66"/>
    </row>
    <row r="6" spans="1:17" x14ac:dyDescent="0.3">
      <c r="A6" s="52"/>
      <c r="B6" s="52"/>
      <c r="C6" s="52"/>
      <c r="D6" s="52"/>
      <c r="E6" s="4"/>
      <c r="F6" s="4"/>
      <c r="G6" s="16" t="s">
        <v>117</v>
      </c>
      <c r="H6" s="56" t="s">
        <v>118</v>
      </c>
      <c r="I6" s="56"/>
      <c r="M6" s="66"/>
      <c r="N6" s="66"/>
      <c r="O6" s="66"/>
      <c r="P6" s="66"/>
      <c r="Q6" s="66"/>
    </row>
    <row r="7" spans="1:17" x14ac:dyDescent="0.3">
      <c r="A7" s="52"/>
      <c r="B7" s="52"/>
      <c r="C7" s="52"/>
      <c r="D7" s="52"/>
      <c r="E7" s="4"/>
      <c r="F7" s="4"/>
      <c r="G7" s="4"/>
      <c r="H7" s="4"/>
      <c r="I7" s="4"/>
      <c r="J7" s="4"/>
      <c r="M7" s="54" t="s">
        <v>224</v>
      </c>
      <c r="N7" s="54"/>
      <c r="O7" s="54"/>
      <c r="P7" s="54"/>
      <c r="Q7" s="54"/>
    </row>
    <row r="8" spans="1:17" x14ac:dyDescent="0.3">
      <c r="A8" s="14"/>
      <c r="B8" s="14"/>
      <c r="C8" s="14"/>
      <c r="D8" s="14"/>
      <c r="E8" s="4"/>
      <c r="F8" s="4"/>
      <c r="G8" s="15" t="s">
        <v>109</v>
      </c>
      <c r="H8" s="59">
        <v>178</v>
      </c>
      <c r="I8" s="59"/>
      <c r="M8" s="54"/>
      <c r="N8" s="54"/>
      <c r="O8" s="54"/>
      <c r="P8" s="54"/>
      <c r="Q8" s="54"/>
    </row>
    <row r="9" spans="1:17" x14ac:dyDescent="0.3">
      <c r="A9" s="44" t="s">
        <v>112</v>
      </c>
      <c r="B9" s="44"/>
      <c r="C9" s="4"/>
      <c r="D9" s="4"/>
      <c r="E9" s="4"/>
      <c r="F9" s="4"/>
      <c r="G9" s="17" t="s">
        <v>110</v>
      </c>
      <c r="H9" s="45" t="s">
        <v>111</v>
      </c>
      <c r="I9" s="45"/>
      <c r="M9" s="54"/>
      <c r="N9" s="54"/>
      <c r="O9" s="54"/>
      <c r="P9" s="54"/>
      <c r="Q9" s="54"/>
    </row>
    <row r="10" spans="1:17" x14ac:dyDescent="0.3">
      <c r="A10" s="46" t="s">
        <v>229</v>
      </c>
      <c r="B10" s="46"/>
      <c r="C10" s="46"/>
      <c r="D10" s="4"/>
      <c r="E10" s="4"/>
      <c r="F10" s="4"/>
      <c r="G10" s="4"/>
      <c r="J10" s="4"/>
      <c r="M10" s="54"/>
      <c r="N10" s="54"/>
      <c r="O10" s="54"/>
      <c r="P10" s="54"/>
      <c r="Q10" s="54"/>
    </row>
    <row r="11" spans="1:17" x14ac:dyDescent="0.3">
      <c r="A11" s="43" t="s">
        <v>230</v>
      </c>
      <c r="B11" s="43"/>
      <c r="C11" s="43"/>
      <c r="D11" s="43"/>
      <c r="E11" s="4"/>
      <c r="F11" s="4"/>
      <c r="G11" s="16" t="s">
        <v>121</v>
      </c>
      <c r="H11" s="60" t="s">
        <v>122</v>
      </c>
      <c r="I11" s="60"/>
      <c r="J11" s="4"/>
    </row>
    <row r="12" spans="1:17" x14ac:dyDescent="0.3">
      <c r="A12" s="43"/>
      <c r="B12" s="43"/>
      <c r="C12" s="43"/>
      <c r="D12" s="43"/>
      <c r="E12" s="4"/>
      <c r="F12" s="4"/>
      <c r="G12" s="4"/>
      <c r="H12" s="6"/>
      <c r="I12" s="4"/>
      <c r="J12" s="4"/>
    </row>
    <row r="13" spans="1:17" x14ac:dyDescent="0.3">
      <c r="A13" s="23"/>
      <c r="B13" s="23"/>
      <c r="C13" s="23"/>
      <c r="D13" s="23"/>
      <c r="E13" s="22"/>
      <c r="F13" s="22"/>
      <c r="G13" s="22"/>
      <c r="H13" s="6"/>
      <c r="I13" s="22"/>
      <c r="J13" s="22"/>
    </row>
    <row r="14" spans="1:17" x14ac:dyDescent="0.3">
      <c r="A14" s="4"/>
      <c r="B14" s="4"/>
      <c r="C14" s="4"/>
      <c r="D14" s="4"/>
      <c r="E14" s="4"/>
      <c r="F14" s="4"/>
      <c r="G14" s="4"/>
      <c r="H14" s="4"/>
      <c r="I14" s="4"/>
      <c r="J14" s="4"/>
    </row>
    <row r="15" spans="1:17" x14ac:dyDescent="0.3">
      <c r="A15" s="12" t="s">
        <v>9</v>
      </c>
      <c r="B15" s="57" t="s">
        <v>10</v>
      </c>
      <c r="C15" s="58"/>
      <c r="D15" s="57" t="s">
        <v>11</v>
      </c>
      <c r="E15" s="58"/>
      <c r="F15" s="12" t="s">
        <v>3</v>
      </c>
      <c r="G15" s="12" t="s">
        <v>12</v>
      </c>
      <c r="H15" s="57" t="s">
        <v>123</v>
      </c>
      <c r="I15" s="58"/>
      <c r="J15"/>
    </row>
    <row r="16" spans="1:17" x14ac:dyDescent="0.3">
      <c r="A16" s="18">
        <v>7</v>
      </c>
      <c r="B16" s="18" t="s">
        <v>66</v>
      </c>
      <c r="C16" s="18"/>
      <c r="D16" s="18">
        <v>200</v>
      </c>
      <c r="E16" s="18"/>
      <c r="F16" s="18">
        <v>4</v>
      </c>
      <c r="G16" s="18">
        <v>200</v>
      </c>
      <c r="H16" s="18">
        <v>800</v>
      </c>
      <c r="I16" s="18"/>
      <c r="J16" s="24"/>
    </row>
    <row r="17" spans="1:17" x14ac:dyDescent="0.3">
      <c r="A17" s="64"/>
      <c r="B17" s="65" t="s">
        <v>4</v>
      </c>
      <c r="C17" s="65"/>
      <c r="D17" s="64"/>
      <c r="E17" s="64"/>
      <c r="F17" s="64"/>
      <c r="G17" s="64"/>
      <c r="H17" s="64">
        <v>800</v>
      </c>
      <c r="I17" s="64"/>
      <c r="J17" s="24"/>
    </row>
    <row r="18" spans="1:17" x14ac:dyDescent="0.3">
      <c r="A18" s="18"/>
      <c r="B18" s="18"/>
      <c r="C18" s="18"/>
      <c r="D18" s="18"/>
      <c r="E18" s="18"/>
      <c r="F18" s="18"/>
      <c r="G18" s="18"/>
      <c r="H18" s="18"/>
      <c r="I18" s="18"/>
      <c r="J18" s="24"/>
    </row>
    <row r="19" spans="1:17" x14ac:dyDescent="0.3">
      <c r="A19" s="18"/>
      <c r="B19" s="18"/>
      <c r="C19" s="18"/>
      <c r="D19" s="18"/>
      <c r="E19" s="18"/>
      <c r="F19" s="18"/>
      <c r="G19"/>
      <c r="H19"/>
      <c r="I19"/>
      <c r="J19" s="24"/>
    </row>
    <row r="20" spans="1:17" x14ac:dyDescent="0.3">
      <c r="A20" s="4"/>
      <c r="B20" s="4"/>
      <c r="C20" s="4"/>
      <c r="D20" s="4"/>
      <c r="E20" s="4"/>
      <c r="F20" s="33" t="s">
        <v>194</v>
      </c>
      <c r="G20" s="34"/>
      <c r="H20" s="30">
        <v>800</v>
      </c>
      <c r="I20" s="30"/>
      <c r="J20" s="4"/>
      <c r="M20" s="53"/>
      <c r="N20" s="53"/>
      <c r="O20" s="53"/>
      <c r="P20" s="53"/>
      <c r="Q20" s="53"/>
    </row>
    <row r="21" spans="1:17" x14ac:dyDescent="0.3">
      <c r="A21" s="27" t="s">
        <v>190</v>
      </c>
      <c r="B21" s="28"/>
      <c r="C21" s="29"/>
      <c r="D21" s="25" t="s">
        <v>191</v>
      </c>
      <c r="E21" s="4"/>
      <c r="F21" s="35" t="s">
        <v>195</v>
      </c>
      <c r="G21" s="36"/>
      <c r="H21" s="31">
        <v>320</v>
      </c>
      <c r="I21" s="31"/>
      <c r="J21" s="4"/>
      <c r="M21" s="53"/>
      <c r="N21" s="53"/>
      <c r="O21" s="53"/>
      <c r="P21" s="53"/>
      <c r="Q21" s="53"/>
    </row>
    <row r="22" spans="1:17" ht="23.4" x14ac:dyDescent="0.45">
      <c r="A22" s="26" t="s">
        <v>133</v>
      </c>
      <c r="B22" s="26"/>
      <c r="C22" s="26"/>
      <c r="D22"/>
      <c r="E22" s="4"/>
      <c r="F22" s="37" t="s">
        <v>196</v>
      </c>
      <c r="G22" s="38"/>
      <c r="H22" s="32">
        <v>480</v>
      </c>
      <c r="I22" s="32"/>
      <c r="J22" s="4"/>
    </row>
    <row r="23" spans="1:17" x14ac:dyDescent="0.3">
      <c r="A23"/>
      <c r="B23"/>
      <c r="C23"/>
      <c r="D23"/>
      <c r="E23" s="4"/>
      <c r="F23" s="4"/>
      <c r="G23" s="4"/>
      <c r="H23" s="4"/>
      <c r="I23" s="4"/>
      <c r="J23" s="4"/>
      <c r="M23"/>
      <c r="N23"/>
      <c r="O23"/>
      <c r="P23"/>
      <c r="Q23"/>
    </row>
    <row r="24" spans="1:17" x14ac:dyDescent="0.3">
      <c r="A24"/>
      <c r="B24"/>
      <c r="C24"/>
      <c r="D24"/>
      <c r="E24" s="21"/>
      <c r="F24" s="21"/>
      <c r="G24" s="21"/>
      <c r="H24" s="21"/>
      <c r="I24" s="21"/>
      <c r="J24" s="21"/>
      <c r="M24"/>
      <c r="N24"/>
      <c r="O24"/>
      <c r="P24"/>
      <c r="Q24"/>
    </row>
    <row r="25" spans="1:17" x14ac:dyDescent="0.3">
      <c r="A25" s="26"/>
      <c r="B25" s="26"/>
      <c r="C25" s="26"/>
      <c r="D25"/>
      <c r="E25" s="4"/>
      <c r="F25" s="4"/>
      <c r="G25" s="4"/>
      <c r="H25" s="4"/>
      <c r="I25" s="4"/>
      <c r="J25" s="4"/>
      <c r="M25"/>
      <c r="N25"/>
      <c r="O25"/>
      <c r="P25"/>
      <c r="Q25"/>
    </row>
    <row r="26" spans="1:17" x14ac:dyDescent="0.3">
      <c r="A26" s="4"/>
      <c r="B26" s="4"/>
      <c r="C26" s="4"/>
      <c r="D26" s="4"/>
      <c r="E26" s="4"/>
      <c r="F26" s="4"/>
      <c r="G26" s="4"/>
      <c r="H26" s="4"/>
      <c r="I26" s="4"/>
      <c r="J26" s="4"/>
      <c r="M26"/>
      <c r="N26"/>
      <c r="O26"/>
      <c r="P26"/>
      <c r="Q26"/>
    </row>
    <row r="27" spans="1:17" x14ac:dyDescent="0.3">
      <c r="A27" s="4"/>
      <c r="B27" s="4"/>
      <c r="C27" s="4"/>
      <c r="D27" s="4"/>
      <c r="E27" s="4"/>
      <c r="F27" s="4"/>
      <c r="G27" s="4"/>
      <c r="H27" s="4"/>
      <c r="I27" s="4"/>
      <c r="J27" s="4"/>
    </row>
    <row r="28" spans="1:17" x14ac:dyDescent="0.3">
      <c r="A28" s="4"/>
      <c r="B28" s="4"/>
      <c r="C28" s="4"/>
      <c r="D28" s="4"/>
      <c r="E28" s="4"/>
      <c r="F28" s="4"/>
      <c r="G28" s="4"/>
      <c r="H28" s="4"/>
      <c r="I28" s="4"/>
      <c r="J28" s="4"/>
    </row>
    <row r="29" spans="1:17" x14ac:dyDescent="0.3">
      <c r="A29" s="55" t="s">
        <v>120</v>
      </c>
      <c r="B29" s="55"/>
      <c r="C29" s="55"/>
      <c r="D29" s="55"/>
      <c r="E29" s="55"/>
      <c r="F29" s="55"/>
      <c r="G29" s="55"/>
      <c r="H29" s="4"/>
      <c r="I29" s="4"/>
      <c r="J29" s="4"/>
    </row>
    <row r="30" spans="1:17" x14ac:dyDescent="0.3">
      <c r="A30" s="4"/>
      <c r="B30" s="4"/>
      <c r="C30" s="4"/>
      <c r="D30" s="4"/>
      <c r="E30" s="4"/>
      <c r="F30" s="4"/>
      <c r="G30" s="4"/>
      <c r="H30" s="4"/>
      <c r="I30" s="4"/>
      <c r="J30" s="4"/>
    </row>
    <row r="31" spans="1:17" x14ac:dyDescent="0.3">
      <c r="A31" s="4"/>
      <c r="B31" s="4"/>
      <c r="C31" s="4"/>
      <c r="D31" s="4"/>
      <c r="E31" s="4"/>
      <c r="F31" s="4"/>
      <c r="G31" s="4"/>
      <c r="H31" s="4"/>
      <c r="I31" s="4"/>
      <c r="J31" s="4"/>
    </row>
    <row r="32" spans="1:17" x14ac:dyDescent="0.3">
      <c r="A32" s="4"/>
      <c r="B32" s="4"/>
      <c r="C32" s="4"/>
      <c r="D32" s="4"/>
      <c r="E32" s="4"/>
      <c r="F32" s="4"/>
      <c r="G32" s="4"/>
      <c r="H32" s="4"/>
      <c r="I32" s="4"/>
      <c r="J32" s="4"/>
    </row>
  </sheetData>
  <sheetProtection algorithmName="SHA-512" hashValue="gC/dwpk2Mz/xLbYuw9Ny+pjU8plI3W8Qsmr8xUm0GJZ0KrOcu6Yabx0A8eXM0GtYx/Iy2BJWUnzMI2mZwShjWA==" saltValue="I/r4WxCcVql93FgLALU9pQ==" spinCount="100000" sheet="1" objects="1" scenarios="1"/>
  <customSheetViews>
    <customSheetView guid="{8DC053BE-EB89-4885-89A0-24C42D97A77D}" scale="85" showPageBreaks="1" printArea="1">
      <selection activeCell="Q22" sqref="Q22"/>
      <pageMargins left="0.7" right="0.7" top="0.75" bottom="0.75" header="0.3" footer="0.3"/>
      <pageSetup orientation="portrait" r:id="rId1"/>
    </customSheetView>
    <customSheetView guid="{8FE8D380-9834-4D13-8274-5A880500ABE9}" scale="85" showPageBreaks="1" printArea="1">
      <selection activeCell="Q22" sqref="Q22"/>
      <pageMargins left="0.7" right="0.7" top="0.75" bottom="0.75" header="0.3" footer="0.3"/>
      <pageSetup orientation="portrait" r:id="rId2"/>
    </customSheetView>
    <customSheetView guid="{FFE8592F-0ABA-4B06-8608-574265821AC0}" scale="85" showPageBreaks="1" printArea="1">
      <selection activeCell="Q22" sqref="Q22"/>
      <pageMargins left="0.7" right="0.7" top="0.75" bottom="0.75" header="0.3" footer="0.3"/>
      <pageSetup orientation="portrait" r:id="rId3"/>
    </customSheetView>
  </customSheetViews>
  <mergeCells count="31">
    <mergeCell ref="B17:C17"/>
    <mergeCell ref="M7:Q10"/>
    <mergeCell ref="M2:Q6"/>
    <mergeCell ref="M20:Q21"/>
    <mergeCell ref="A29:G29"/>
    <mergeCell ref="H4:I4"/>
    <mergeCell ref="H5:I5"/>
    <mergeCell ref="H6:I6"/>
    <mergeCell ref="B15:C15"/>
    <mergeCell ref="D15:E15"/>
    <mergeCell ref="H15:I15"/>
    <mergeCell ref="H8:I8"/>
    <mergeCell ref="H11:I11"/>
    <mergeCell ref="B1:G2"/>
    <mergeCell ref="A5:D7"/>
    <mergeCell ref="H1:I2"/>
    <mergeCell ref="A11:D12"/>
    <mergeCell ref="A4:C4"/>
    <mergeCell ref="H9:I9"/>
    <mergeCell ref="A10:C10"/>
    <mergeCell ref="A9:B9"/>
    <mergeCell ref="A1:A2"/>
    <mergeCell ref="A25:C25"/>
    <mergeCell ref="A22:C22"/>
    <mergeCell ref="A21:C21"/>
    <mergeCell ref="H20:I20"/>
    <mergeCell ref="H21:I21"/>
    <mergeCell ref="H22:I22"/>
    <mergeCell ref="F20:G20"/>
    <mergeCell ref="F21:G21"/>
    <mergeCell ref="F22:G22"/>
  </mergeCells>
  <hyperlinks>
    <hyperlink ref="B1" r:id="rId4" xr:uid="{3D593F5E-370A-4FA2-AB8F-5CB8BFB99BC9}"/>
    <hyperlink ref="H6" r:id="rId5" xr:uid="{6632C543-7BED-4C9E-88BD-F5F8AFA4739B}"/>
  </hyperlinks>
  <pageMargins left="0.7" right="0.7" top="0.75" bottom="0.75" header="0.3" footer="0.3"/>
  <pageSetup orientation="portrait" r:id="rId6"/>
  <drawing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B47CF-04E5-449D-ADCB-523BA0030EA1}">
  <sheetPr codeName="Sheet2"/>
  <dimension ref="A1:K69"/>
  <sheetViews>
    <sheetView zoomScaleNormal="100" workbookViewId="0">
      <pane ySplit="1" topLeftCell="A54" activePane="bottomLeft" state="frozen"/>
      <selection pane="bottomLeft" activeCell="F66" sqref="F66"/>
    </sheetView>
  </sheetViews>
  <sheetFormatPr defaultRowHeight="14.4" x14ac:dyDescent="0.3"/>
  <cols>
    <col min="1" max="1" width="8.88671875" style="10" customWidth="1"/>
    <col min="2" max="2" width="16.6640625" style="11" customWidth="1"/>
    <col min="3" max="3" width="18" style="10" customWidth="1"/>
    <col min="4" max="4" width="12.77734375" style="10" customWidth="1"/>
    <col min="5" max="5" width="12.21875" style="10" customWidth="1"/>
    <col min="6" max="6" width="20.44140625" style="10" customWidth="1"/>
    <col min="7" max="7" width="44.21875" style="10" customWidth="1"/>
    <col min="8" max="8" width="13.109375" style="10" customWidth="1"/>
    <col min="9" max="9" width="10.5546875" style="10" customWidth="1"/>
    <col min="10" max="10" width="12.5546875" style="10" customWidth="1"/>
    <col min="11" max="11" width="14" style="10" customWidth="1"/>
  </cols>
  <sheetData>
    <row r="1" spans="1:11" ht="15.6" x14ac:dyDescent="0.3">
      <c r="A1" s="8" t="s">
        <v>6</v>
      </c>
      <c r="B1" s="9" t="s">
        <v>7</v>
      </c>
      <c r="C1" s="8" t="s">
        <v>5</v>
      </c>
      <c r="D1" s="8" t="s">
        <v>8</v>
      </c>
      <c r="E1" s="8" t="s">
        <v>105</v>
      </c>
      <c r="F1" s="8" t="s">
        <v>106</v>
      </c>
      <c r="G1" s="8" t="s">
        <v>182</v>
      </c>
      <c r="H1" s="8" t="s">
        <v>107</v>
      </c>
      <c r="I1"/>
      <c r="J1"/>
      <c r="K1"/>
    </row>
    <row r="2" spans="1:11" x14ac:dyDescent="0.3">
      <c r="A2" s="10">
        <v>1</v>
      </c>
      <c r="B2" s="11">
        <v>108</v>
      </c>
      <c r="C2" s="10" t="s">
        <v>129</v>
      </c>
      <c r="D2" s="19">
        <v>44315</v>
      </c>
      <c r="E2" s="10">
        <v>3510</v>
      </c>
      <c r="G2" s="10" t="s">
        <v>187</v>
      </c>
    </row>
    <row r="3" spans="1:11" x14ac:dyDescent="0.3">
      <c r="A3" s="10">
        <v>2</v>
      </c>
      <c r="B3" s="11">
        <v>109</v>
      </c>
      <c r="C3" s="10" t="s">
        <v>124</v>
      </c>
      <c r="D3" s="19">
        <v>44315</v>
      </c>
      <c r="E3" s="10">
        <v>1514</v>
      </c>
      <c r="F3" s="10" t="s">
        <v>130</v>
      </c>
      <c r="G3" s="10" t="s">
        <v>187</v>
      </c>
    </row>
    <row r="4" spans="1:11" x14ac:dyDescent="0.3">
      <c r="A4" s="10">
        <v>3</v>
      </c>
      <c r="B4" s="11">
        <v>110</v>
      </c>
      <c r="C4" s="10" t="s">
        <v>128</v>
      </c>
      <c r="D4" s="19">
        <v>44315</v>
      </c>
      <c r="E4" s="10">
        <v>162</v>
      </c>
      <c r="F4" s="10" t="s">
        <v>131</v>
      </c>
      <c r="G4" s="10" t="s">
        <v>187</v>
      </c>
    </row>
    <row r="5" spans="1:11" x14ac:dyDescent="0.3">
      <c r="A5" s="10">
        <v>4</v>
      </c>
      <c r="B5" s="11">
        <v>111</v>
      </c>
      <c r="C5" s="10" t="s">
        <v>136</v>
      </c>
      <c r="D5" s="19">
        <v>44315</v>
      </c>
      <c r="E5" s="10">
        <v>1370</v>
      </c>
      <c r="F5" s="10" t="s">
        <v>132</v>
      </c>
      <c r="G5" s="10" t="s">
        <v>187</v>
      </c>
    </row>
    <row r="6" spans="1:11" x14ac:dyDescent="0.3">
      <c r="A6" s="10">
        <v>5</v>
      </c>
      <c r="B6" s="11">
        <v>112</v>
      </c>
      <c r="C6" s="10" t="s">
        <v>134</v>
      </c>
      <c r="D6" s="19">
        <v>44315</v>
      </c>
      <c r="E6" s="10">
        <v>1035</v>
      </c>
      <c r="F6" s="10" t="s">
        <v>103</v>
      </c>
      <c r="G6" s="10" t="s">
        <v>187</v>
      </c>
    </row>
    <row r="7" spans="1:11" x14ac:dyDescent="0.3">
      <c r="A7" s="10">
        <v>6</v>
      </c>
      <c r="B7" s="11">
        <v>113</v>
      </c>
      <c r="C7" s="10" t="s">
        <v>135</v>
      </c>
      <c r="D7" s="19">
        <v>44315</v>
      </c>
      <c r="E7">
        <v>540</v>
      </c>
      <c r="F7" s="10" t="s">
        <v>71</v>
      </c>
      <c r="G7" s="10" t="s">
        <v>187</v>
      </c>
    </row>
    <row r="8" spans="1:11" x14ac:dyDescent="0.3">
      <c r="A8" s="10">
        <v>7</v>
      </c>
      <c r="B8" s="11">
        <v>114</v>
      </c>
      <c r="C8" s="10" t="s">
        <v>137</v>
      </c>
      <c r="D8" s="19">
        <v>44315</v>
      </c>
      <c r="E8" s="10">
        <v>1035</v>
      </c>
      <c r="F8" s="10" t="s">
        <v>71</v>
      </c>
      <c r="G8" s="10" t="s">
        <v>187</v>
      </c>
    </row>
    <row r="9" spans="1:11" x14ac:dyDescent="0.3">
      <c r="A9" s="10">
        <v>8</v>
      </c>
      <c r="B9" s="11">
        <v>115</v>
      </c>
      <c r="C9" s="10" t="s">
        <v>138</v>
      </c>
      <c r="D9" s="19">
        <v>44315</v>
      </c>
      <c r="E9" s="10">
        <v>3510</v>
      </c>
      <c r="F9" s="10" t="s">
        <v>71</v>
      </c>
      <c r="G9" s="10" t="s">
        <v>187</v>
      </c>
    </row>
    <row r="10" spans="1:11" x14ac:dyDescent="0.3">
      <c r="A10" s="10">
        <v>9</v>
      </c>
      <c r="B10" s="11">
        <v>116</v>
      </c>
      <c r="C10" s="10" t="s">
        <v>139</v>
      </c>
      <c r="D10" s="19">
        <v>44315</v>
      </c>
      <c r="E10" s="10">
        <v>900</v>
      </c>
      <c r="F10" s="10" t="s">
        <v>77</v>
      </c>
      <c r="G10" s="10" t="s">
        <v>187</v>
      </c>
    </row>
    <row r="11" spans="1:11" x14ac:dyDescent="0.3">
      <c r="A11" s="10">
        <v>10</v>
      </c>
      <c r="B11" s="11">
        <v>117</v>
      </c>
      <c r="C11" s="10" t="s">
        <v>140</v>
      </c>
      <c r="D11" s="19">
        <v>44315</v>
      </c>
      <c r="E11" s="10">
        <v>4741</v>
      </c>
      <c r="F11" s="10" t="s">
        <v>141</v>
      </c>
      <c r="G11" s="10" t="s">
        <v>187</v>
      </c>
    </row>
    <row r="12" spans="1:11" x14ac:dyDescent="0.3">
      <c r="A12" s="10">
        <v>11</v>
      </c>
      <c r="B12" s="11">
        <v>118</v>
      </c>
      <c r="C12" s="10" t="s">
        <v>142</v>
      </c>
      <c r="D12" s="19">
        <v>44315</v>
      </c>
      <c r="E12" s="10">
        <v>40</v>
      </c>
      <c r="F12" s="10" t="s">
        <v>71</v>
      </c>
      <c r="G12" s="10" t="s">
        <v>187</v>
      </c>
    </row>
    <row r="13" spans="1:11" x14ac:dyDescent="0.3">
      <c r="A13" s="10">
        <v>12</v>
      </c>
      <c r="B13" s="11">
        <v>119</v>
      </c>
      <c r="C13" s="10" t="s">
        <v>143</v>
      </c>
      <c r="D13" s="19">
        <v>44315</v>
      </c>
      <c r="E13" s="10">
        <v>1600</v>
      </c>
      <c r="F13" s="10" t="s">
        <v>81</v>
      </c>
      <c r="G13" s="10" t="s">
        <v>187</v>
      </c>
    </row>
    <row r="14" spans="1:11" x14ac:dyDescent="0.3">
      <c r="A14" s="10">
        <v>13</v>
      </c>
      <c r="B14" s="11">
        <v>120</v>
      </c>
      <c r="C14" s="10" t="s">
        <v>144</v>
      </c>
      <c r="D14" s="19">
        <v>44315</v>
      </c>
      <c r="E14" s="10">
        <v>3825</v>
      </c>
      <c r="F14" s="10" t="s">
        <v>71</v>
      </c>
      <c r="G14" s="10" t="s">
        <v>187</v>
      </c>
    </row>
    <row r="15" spans="1:11" x14ac:dyDescent="0.3">
      <c r="A15" s="10">
        <v>14</v>
      </c>
      <c r="B15" s="11">
        <v>121</v>
      </c>
      <c r="C15" s="10" t="s">
        <v>145</v>
      </c>
      <c r="D15" s="19">
        <v>44315</v>
      </c>
      <c r="E15" s="10">
        <v>1035</v>
      </c>
      <c r="F15" s="10" t="s">
        <v>99</v>
      </c>
      <c r="G15" s="10" t="s">
        <v>187</v>
      </c>
    </row>
    <row r="16" spans="1:11" x14ac:dyDescent="0.3">
      <c r="A16" s="10">
        <v>15</v>
      </c>
      <c r="B16" s="11">
        <v>122</v>
      </c>
      <c r="C16" s="10" t="s">
        <v>146</v>
      </c>
      <c r="D16" s="19">
        <v>44315</v>
      </c>
      <c r="E16" s="10">
        <v>945</v>
      </c>
      <c r="F16" s="10" t="s">
        <v>71</v>
      </c>
      <c r="G16" s="10" t="s">
        <v>187</v>
      </c>
    </row>
    <row r="17" spans="1:7" x14ac:dyDescent="0.3">
      <c r="A17" s="10">
        <v>16</v>
      </c>
      <c r="B17" s="11">
        <v>123</v>
      </c>
      <c r="C17" s="10" t="s">
        <v>147</v>
      </c>
      <c r="D17" s="19">
        <v>44315</v>
      </c>
      <c r="E17" s="10">
        <v>1620</v>
      </c>
      <c r="F17" s="10" t="s">
        <v>81</v>
      </c>
      <c r="G17" s="10" t="s">
        <v>187</v>
      </c>
    </row>
    <row r="18" spans="1:7" x14ac:dyDescent="0.3">
      <c r="A18" s="10">
        <v>17</v>
      </c>
      <c r="B18" s="11">
        <v>124</v>
      </c>
      <c r="C18" s="10" t="s">
        <v>148</v>
      </c>
      <c r="D18" s="19">
        <v>44315</v>
      </c>
      <c r="E18" s="10">
        <v>1955</v>
      </c>
      <c r="F18" s="10" t="s">
        <v>101</v>
      </c>
      <c r="G18" s="10" t="s">
        <v>187</v>
      </c>
    </row>
    <row r="19" spans="1:7" x14ac:dyDescent="0.3">
      <c r="A19" s="10">
        <v>18</v>
      </c>
      <c r="B19" s="11">
        <v>125</v>
      </c>
      <c r="C19" s="10" t="s">
        <v>149</v>
      </c>
      <c r="D19" s="19">
        <v>44315</v>
      </c>
      <c r="E19" s="10">
        <v>540</v>
      </c>
      <c r="F19" s="10" t="s">
        <v>66</v>
      </c>
      <c r="G19" s="10" t="s">
        <v>187</v>
      </c>
    </row>
    <row r="20" spans="1:7" x14ac:dyDescent="0.3">
      <c r="A20" s="10">
        <v>19</v>
      </c>
      <c r="B20" s="11">
        <v>126</v>
      </c>
      <c r="C20" s="10" t="s">
        <v>150</v>
      </c>
      <c r="D20" s="19">
        <v>44315</v>
      </c>
      <c r="E20" s="10">
        <v>3510</v>
      </c>
      <c r="F20" s="10" t="s">
        <v>71</v>
      </c>
      <c r="G20" s="10" t="s">
        <v>187</v>
      </c>
    </row>
    <row r="21" spans="1:7" x14ac:dyDescent="0.3">
      <c r="A21" s="10">
        <v>20</v>
      </c>
      <c r="B21" s="11">
        <v>127</v>
      </c>
      <c r="C21" s="10" t="s">
        <v>151</v>
      </c>
      <c r="D21" s="19">
        <v>44315</v>
      </c>
      <c r="E21" s="10">
        <v>672</v>
      </c>
      <c r="F21" s="10" t="s">
        <v>101</v>
      </c>
      <c r="G21" s="10" t="s">
        <v>187</v>
      </c>
    </row>
    <row r="22" spans="1:7" x14ac:dyDescent="0.3">
      <c r="A22" s="10">
        <v>21</v>
      </c>
      <c r="B22" s="11">
        <v>128</v>
      </c>
      <c r="C22" s="10" t="s">
        <v>152</v>
      </c>
      <c r="D22" s="19">
        <v>44315</v>
      </c>
      <c r="E22" s="10">
        <v>360</v>
      </c>
      <c r="F22" s="10" t="s">
        <v>153</v>
      </c>
      <c r="G22" s="10" t="s">
        <v>187</v>
      </c>
    </row>
    <row r="23" spans="1:7" x14ac:dyDescent="0.3">
      <c r="A23" s="10">
        <v>22</v>
      </c>
      <c r="B23" s="11">
        <v>129</v>
      </c>
      <c r="C23" s="10" t="s">
        <v>154</v>
      </c>
      <c r="D23" s="19">
        <v>44315</v>
      </c>
      <c r="E23" s="10">
        <v>310</v>
      </c>
      <c r="F23" s="10" t="s">
        <v>81</v>
      </c>
      <c r="G23" s="10" t="s">
        <v>187</v>
      </c>
    </row>
    <row r="24" spans="1:7" x14ac:dyDescent="0.3">
      <c r="A24" s="10">
        <v>23</v>
      </c>
      <c r="B24" s="11">
        <v>130</v>
      </c>
      <c r="C24" s="10" t="s">
        <v>155</v>
      </c>
      <c r="D24" s="19">
        <v>44315</v>
      </c>
      <c r="E24" s="10">
        <v>159</v>
      </c>
      <c r="F24" s="10" t="s">
        <v>83</v>
      </c>
      <c r="G24" s="10" t="s">
        <v>187</v>
      </c>
    </row>
    <row r="25" spans="1:7" x14ac:dyDescent="0.3">
      <c r="A25" s="10">
        <v>24</v>
      </c>
      <c r="B25" s="11">
        <v>131</v>
      </c>
      <c r="C25" s="10" t="s">
        <v>156</v>
      </c>
      <c r="D25" s="19">
        <v>44315</v>
      </c>
      <c r="E25" s="10">
        <v>4410</v>
      </c>
      <c r="F25" s="10" t="s">
        <v>81</v>
      </c>
      <c r="G25" s="10" t="s">
        <v>187</v>
      </c>
    </row>
    <row r="26" spans="1:7" x14ac:dyDescent="0.3">
      <c r="A26" s="10">
        <v>25</v>
      </c>
      <c r="B26" s="11">
        <v>132</v>
      </c>
      <c r="C26" s="10" t="s">
        <v>157</v>
      </c>
      <c r="D26" s="19">
        <v>44315</v>
      </c>
      <c r="E26" s="10">
        <v>2943</v>
      </c>
      <c r="F26" s="10" t="s">
        <v>158</v>
      </c>
      <c r="G26" s="10" t="s">
        <v>187</v>
      </c>
    </row>
    <row r="27" spans="1:7" x14ac:dyDescent="0.3">
      <c r="A27" s="10">
        <v>26</v>
      </c>
      <c r="B27" s="11">
        <v>133</v>
      </c>
      <c r="C27" s="10" t="s">
        <v>159</v>
      </c>
      <c r="D27" s="19">
        <v>44315</v>
      </c>
      <c r="E27" s="10">
        <v>815</v>
      </c>
      <c r="F27" s="10" t="s">
        <v>160</v>
      </c>
      <c r="G27" s="10" t="s">
        <v>187</v>
      </c>
    </row>
    <row r="28" spans="1:7" x14ac:dyDescent="0.3">
      <c r="A28" s="10">
        <v>27</v>
      </c>
      <c r="B28" s="11">
        <v>134</v>
      </c>
      <c r="C28" s="10" t="s">
        <v>162</v>
      </c>
      <c r="D28" s="19">
        <v>44315</v>
      </c>
      <c r="E28" s="10">
        <v>1485</v>
      </c>
      <c r="F28" s="10" t="s">
        <v>81</v>
      </c>
      <c r="G28" s="10" t="s">
        <v>187</v>
      </c>
    </row>
    <row r="29" spans="1:7" x14ac:dyDescent="0.3">
      <c r="A29" s="10">
        <v>28</v>
      </c>
      <c r="B29" s="11">
        <v>135</v>
      </c>
      <c r="C29" s="10" t="s">
        <v>164</v>
      </c>
      <c r="D29" s="19">
        <v>44315</v>
      </c>
      <c r="E29" s="10">
        <v>1440</v>
      </c>
      <c r="F29" s="10" t="s">
        <v>77</v>
      </c>
      <c r="G29" s="10" t="s">
        <v>187</v>
      </c>
    </row>
    <row r="30" spans="1:7" x14ac:dyDescent="0.3">
      <c r="A30" s="10">
        <v>29</v>
      </c>
      <c r="B30" s="11">
        <v>136</v>
      </c>
      <c r="C30" s="10" t="s">
        <v>165</v>
      </c>
      <c r="D30" s="19">
        <v>44316</v>
      </c>
      <c r="E30" s="10">
        <v>170</v>
      </c>
      <c r="F30" s="10" t="s">
        <v>88</v>
      </c>
      <c r="G30" s="10" t="s">
        <v>187</v>
      </c>
    </row>
    <row r="31" spans="1:7" x14ac:dyDescent="0.3">
      <c r="A31" s="10">
        <v>30</v>
      </c>
      <c r="B31" s="11">
        <v>137</v>
      </c>
      <c r="D31" s="19">
        <v>44316</v>
      </c>
      <c r="E31" s="10">
        <v>1750</v>
      </c>
      <c r="F31" s="10" t="s">
        <v>166</v>
      </c>
      <c r="G31" s="10" t="s">
        <v>187</v>
      </c>
    </row>
    <row r="32" spans="1:7" x14ac:dyDescent="0.3">
      <c r="A32" s="10">
        <v>31</v>
      </c>
      <c r="B32" s="11">
        <v>138</v>
      </c>
      <c r="C32" s="10" t="s">
        <v>167</v>
      </c>
      <c r="D32" s="19">
        <v>44316</v>
      </c>
      <c r="E32" s="10">
        <v>4756</v>
      </c>
      <c r="F32" s="10" t="s">
        <v>168</v>
      </c>
      <c r="G32" s="10" t="s">
        <v>187</v>
      </c>
    </row>
    <row r="33" spans="1:7" x14ac:dyDescent="0.3">
      <c r="A33" s="10">
        <v>32</v>
      </c>
      <c r="B33" s="11">
        <v>139</v>
      </c>
      <c r="C33" s="10" t="s">
        <v>169</v>
      </c>
      <c r="D33" s="19">
        <v>44316</v>
      </c>
      <c r="E33" s="10">
        <v>20</v>
      </c>
      <c r="F33" s="10" t="s">
        <v>170</v>
      </c>
      <c r="G33" s="10" t="s">
        <v>187</v>
      </c>
    </row>
    <row r="34" spans="1:7" x14ac:dyDescent="0.3">
      <c r="A34" s="10">
        <v>33</v>
      </c>
      <c r="B34" s="11">
        <v>141</v>
      </c>
      <c r="C34" s="10" t="s">
        <v>171</v>
      </c>
      <c r="D34" s="19">
        <v>44316</v>
      </c>
      <c r="E34" s="10">
        <v>24</v>
      </c>
      <c r="F34" s="10" t="s">
        <v>172</v>
      </c>
      <c r="G34" s="10" t="s">
        <v>187</v>
      </c>
    </row>
    <row r="35" spans="1:7" x14ac:dyDescent="0.3">
      <c r="A35" s="10">
        <v>34</v>
      </c>
      <c r="B35" s="11">
        <v>142</v>
      </c>
      <c r="C35" s="10" t="s">
        <v>124</v>
      </c>
      <c r="D35" s="19">
        <v>44317</v>
      </c>
      <c r="E35" s="10">
        <v>6300</v>
      </c>
      <c r="F35" s="10" t="s">
        <v>173</v>
      </c>
      <c r="G35" s="10" t="s">
        <v>187</v>
      </c>
    </row>
    <row r="36" spans="1:7" x14ac:dyDescent="0.3">
      <c r="A36" s="10">
        <v>35</v>
      </c>
      <c r="B36" s="11">
        <v>143</v>
      </c>
      <c r="C36" s="10" t="s">
        <v>174</v>
      </c>
      <c r="D36" s="19">
        <v>44317</v>
      </c>
      <c r="E36" s="10">
        <v>12</v>
      </c>
      <c r="F36" s="10" t="s">
        <v>99</v>
      </c>
      <c r="G36" s="10" t="s">
        <v>187</v>
      </c>
    </row>
    <row r="37" spans="1:7" x14ac:dyDescent="0.3">
      <c r="A37" s="10">
        <v>36</v>
      </c>
      <c r="B37" s="11">
        <v>144</v>
      </c>
      <c r="C37" s="10" t="s">
        <v>175</v>
      </c>
      <c r="D37" s="19">
        <v>44317</v>
      </c>
      <c r="E37" s="10">
        <v>45</v>
      </c>
      <c r="F37" s="10" t="s">
        <v>63</v>
      </c>
      <c r="G37" s="10" t="s">
        <v>187</v>
      </c>
    </row>
    <row r="38" spans="1:7" x14ac:dyDescent="0.3">
      <c r="A38" s="10">
        <v>37</v>
      </c>
      <c r="B38" s="11">
        <v>145</v>
      </c>
      <c r="C38" s="10" t="s">
        <v>176</v>
      </c>
      <c r="D38" s="19">
        <v>44317</v>
      </c>
      <c r="E38" s="10">
        <v>2400</v>
      </c>
      <c r="F38" s="10" t="s">
        <v>100</v>
      </c>
      <c r="G38" s="10" t="s">
        <v>187</v>
      </c>
    </row>
    <row r="39" spans="1:7" x14ac:dyDescent="0.3">
      <c r="A39" s="10">
        <v>38</v>
      </c>
      <c r="B39" s="11">
        <v>146</v>
      </c>
      <c r="C39" s="10" t="s">
        <v>177</v>
      </c>
      <c r="D39" s="19">
        <v>44317</v>
      </c>
      <c r="E39" s="10">
        <v>180</v>
      </c>
      <c r="F39" s="10" t="s">
        <v>60</v>
      </c>
      <c r="G39" s="10" t="s">
        <v>187</v>
      </c>
    </row>
    <row r="40" spans="1:7" x14ac:dyDescent="0.3">
      <c r="A40" s="10">
        <v>39</v>
      </c>
      <c r="B40" s="11">
        <v>147</v>
      </c>
      <c r="C40" s="10" t="s">
        <v>178</v>
      </c>
      <c r="D40" s="19">
        <v>44317</v>
      </c>
      <c r="E40" s="10">
        <v>90</v>
      </c>
      <c r="F40" s="10" t="s">
        <v>64</v>
      </c>
      <c r="G40" s="10" t="s">
        <v>187</v>
      </c>
    </row>
    <row r="41" spans="1:7" x14ac:dyDescent="0.3">
      <c r="A41" s="10">
        <v>40</v>
      </c>
      <c r="B41" s="11">
        <v>149</v>
      </c>
      <c r="C41" s="10" t="s">
        <v>169</v>
      </c>
      <c r="D41" s="19">
        <v>44317</v>
      </c>
      <c r="E41" s="10">
        <v>45</v>
      </c>
      <c r="F41" s="10" t="s">
        <v>79</v>
      </c>
      <c r="G41" s="10" t="s">
        <v>187</v>
      </c>
    </row>
    <row r="42" spans="1:7" x14ac:dyDescent="0.3">
      <c r="A42" s="10">
        <v>41</v>
      </c>
      <c r="B42" s="11">
        <v>150</v>
      </c>
      <c r="C42" s="10" t="s">
        <v>179</v>
      </c>
      <c r="D42" s="19">
        <v>44317</v>
      </c>
      <c r="E42" s="10">
        <v>225</v>
      </c>
      <c r="F42" s="10" t="s">
        <v>71</v>
      </c>
      <c r="G42" s="10" t="s">
        <v>187</v>
      </c>
    </row>
    <row r="43" spans="1:7" x14ac:dyDescent="0.3">
      <c r="A43" s="10">
        <v>42</v>
      </c>
      <c r="B43" s="11">
        <v>151</v>
      </c>
      <c r="C43" s="10" t="s">
        <v>180</v>
      </c>
      <c r="D43" s="19">
        <v>44317</v>
      </c>
      <c r="E43" s="10">
        <v>450</v>
      </c>
      <c r="F43" s="10" t="s">
        <v>83</v>
      </c>
      <c r="G43" s="10" t="s">
        <v>187</v>
      </c>
    </row>
    <row r="44" spans="1:7" x14ac:dyDescent="0.3">
      <c r="A44" s="10">
        <v>43</v>
      </c>
      <c r="B44" s="11">
        <v>152</v>
      </c>
      <c r="C44" s="10" t="s">
        <v>162</v>
      </c>
      <c r="D44" s="19">
        <v>44317</v>
      </c>
      <c r="E44" s="10">
        <v>225</v>
      </c>
      <c r="F44" s="10" t="s">
        <v>103</v>
      </c>
      <c r="G44" s="10" t="s">
        <v>187</v>
      </c>
    </row>
    <row r="45" spans="1:7" x14ac:dyDescent="0.3">
      <c r="A45" s="10">
        <v>44</v>
      </c>
      <c r="B45" s="11">
        <v>153</v>
      </c>
      <c r="C45" s="10" t="s">
        <v>171</v>
      </c>
      <c r="D45" s="19">
        <v>44317</v>
      </c>
      <c r="E45" s="10">
        <v>348</v>
      </c>
      <c r="F45" s="10" t="s">
        <v>181</v>
      </c>
      <c r="G45" s="10" t="s">
        <v>187</v>
      </c>
    </row>
    <row r="46" spans="1:7" x14ac:dyDescent="0.3">
      <c r="A46" s="10">
        <v>45</v>
      </c>
      <c r="B46" s="11">
        <v>154</v>
      </c>
      <c r="C46" s="10" t="s">
        <v>167</v>
      </c>
      <c r="D46" s="19">
        <v>44317</v>
      </c>
      <c r="E46" s="10">
        <v>180</v>
      </c>
      <c r="F46" s="10" t="s">
        <v>98</v>
      </c>
      <c r="G46" s="10" t="s">
        <v>187</v>
      </c>
    </row>
    <row r="47" spans="1:7" x14ac:dyDescent="0.3">
      <c r="A47" s="10">
        <v>46</v>
      </c>
      <c r="B47" s="11">
        <v>155</v>
      </c>
      <c r="C47" s="10" t="s">
        <v>169</v>
      </c>
      <c r="D47" s="19">
        <v>44318</v>
      </c>
      <c r="E47" s="10">
        <v>45</v>
      </c>
      <c r="F47" s="10" t="s">
        <v>71</v>
      </c>
      <c r="G47" s="10" t="s">
        <v>187</v>
      </c>
    </row>
    <row r="48" spans="1:7" x14ac:dyDescent="0.3">
      <c r="A48" s="10">
        <v>47</v>
      </c>
      <c r="B48" s="11">
        <v>156</v>
      </c>
      <c r="C48" s="10" t="s">
        <v>183</v>
      </c>
      <c r="D48" s="19">
        <v>44318</v>
      </c>
      <c r="E48" s="10">
        <v>1625</v>
      </c>
      <c r="F48" s="10" t="s">
        <v>184</v>
      </c>
      <c r="G48" s="10" t="s">
        <v>187</v>
      </c>
    </row>
    <row r="49" spans="1:7" x14ac:dyDescent="0.3">
      <c r="A49" s="10">
        <v>48</v>
      </c>
      <c r="B49" s="11">
        <v>157</v>
      </c>
      <c r="C49" s="10" t="s">
        <v>185</v>
      </c>
      <c r="D49" s="19">
        <v>44318</v>
      </c>
      <c r="E49" s="10">
        <v>180</v>
      </c>
      <c r="F49" s="10" t="s">
        <v>97</v>
      </c>
      <c r="G49" s="10" t="s">
        <v>187</v>
      </c>
    </row>
    <row r="50" spans="1:7" x14ac:dyDescent="0.3">
      <c r="A50" s="10">
        <v>49</v>
      </c>
      <c r="B50" s="11">
        <v>158</v>
      </c>
      <c r="C50" s="10" t="s">
        <v>188</v>
      </c>
      <c r="D50" s="19">
        <v>44318</v>
      </c>
      <c r="E50" s="10">
        <v>180</v>
      </c>
      <c r="F50" s="10" t="s">
        <v>96</v>
      </c>
      <c r="G50" s="10" t="s">
        <v>189</v>
      </c>
    </row>
    <row r="51" spans="1:7" x14ac:dyDescent="0.3">
      <c r="A51" s="10">
        <v>50</v>
      </c>
      <c r="B51" s="11">
        <v>159</v>
      </c>
      <c r="C51" s="10" t="s">
        <v>124</v>
      </c>
      <c r="D51" s="19">
        <v>44318</v>
      </c>
      <c r="E51" s="10">
        <v>564</v>
      </c>
      <c r="F51" s="10" t="s">
        <v>71</v>
      </c>
      <c r="G51" s="10" t="s">
        <v>192</v>
      </c>
    </row>
    <row r="52" spans="1:7" x14ac:dyDescent="0.3">
      <c r="A52" s="10">
        <v>51</v>
      </c>
      <c r="B52" s="11">
        <v>160</v>
      </c>
      <c r="C52" s="10" t="s">
        <v>193</v>
      </c>
      <c r="D52" s="19">
        <v>44318</v>
      </c>
      <c r="E52" s="10">
        <v>540</v>
      </c>
      <c r="F52" s="10" t="s">
        <v>72</v>
      </c>
      <c r="G52" s="10" t="s">
        <v>186</v>
      </c>
    </row>
    <row r="53" spans="1:7" x14ac:dyDescent="0.3">
      <c r="A53" s="10">
        <v>52</v>
      </c>
      <c r="B53" s="11">
        <v>161</v>
      </c>
      <c r="C53" s="10" t="s">
        <v>197</v>
      </c>
      <c r="D53" s="19">
        <v>44318</v>
      </c>
      <c r="E53" s="10">
        <v>861</v>
      </c>
      <c r="F53" s="10" t="s">
        <v>81</v>
      </c>
      <c r="G53" s="10" t="s">
        <v>192</v>
      </c>
    </row>
    <row r="54" spans="1:7" x14ac:dyDescent="0.3">
      <c r="A54" s="10">
        <v>53</v>
      </c>
      <c r="B54" s="11">
        <v>162</v>
      </c>
      <c r="C54" s="10" t="s">
        <v>171</v>
      </c>
      <c r="D54" s="19">
        <v>44318</v>
      </c>
      <c r="E54" s="10">
        <v>180</v>
      </c>
      <c r="F54" s="10" t="s">
        <v>60</v>
      </c>
      <c r="G54" s="10" t="s">
        <v>192</v>
      </c>
    </row>
    <row r="55" spans="1:7" x14ac:dyDescent="0.3">
      <c r="A55" s="10">
        <v>54</v>
      </c>
      <c r="B55" s="11">
        <v>163</v>
      </c>
      <c r="C55" s="10" t="s">
        <v>171</v>
      </c>
      <c r="D55" s="19">
        <v>44318</v>
      </c>
      <c r="E55" s="10">
        <v>200</v>
      </c>
      <c r="F55" s="10" t="s">
        <v>60</v>
      </c>
      <c r="G55" s="10" t="s">
        <v>198</v>
      </c>
    </row>
    <row r="56" spans="1:7" x14ac:dyDescent="0.3">
      <c r="A56" s="10">
        <v>55</v>
      </c>
      <c r="B56" s="11">
        <v>164</v>
      </c>
      <c r="C56" s="10" t="s">
        <v>199</v>
      </c>
      <c r="D56" s="19">
        <v>44318</v>
      </c>
      <c r="E56" s="10">
        <v>156</v>
      </c>
      <c r="F56" s="10" t="s">
        <v>60</v>
      </c>
      <c r="G56" s="10" t="s">
        <v>200</v>
      </c>
    </row>
    <row r="57" spans="1:7" x14ac:dyDescent="0.3">
      <c r="A57" s="10">
        <v>56</v>
      </c>
      <c r="B57" s="11">
        <v>165</v>
      </c>
      <c r="C57" s="10" t="s">
        <v>201</v>
      </c>
      <c r="D57" s="19">
        <v>44318</v>
      </c>
      <c r="E57" s="10">
        <v>1280</v>
      </c>
      <c r="F57" s="10" t="s">
        <v>61</v>
      </c>
      <c r="G57" s="10" t="s">
        <v>202</v>
      </c>
    </row>
    <row r="58" spans="1:7" x14ac:dyDescent="0.3">
      <c r="A58" s="10">
        <v>57</v>
      </c>
      <c r="B58" s="11">
        <v>166</v>
      </c>
      <c r="C58" s="10" t="s">
        <v>203</v>
      </c>
      <c r="D58" s="19">
        <v>44318</v>
      </c>
      <c r="E58" s="10">
        <v>30</v>
      </c>
      <c r="F58" s="10" t="s">
        <v>63</v>
      </c>
      <c r="G58" s="10" t="s">
        <v>204</v>
      </c>
    </row>
    <row r="59" spans="1:7" x14ac:dyDescent="0.3">
      <c r="A59" s="10">
        <v>58</v>
      </c>
      <c r="B59" s="11">
        <v>167</v>
      </c>
      <c r="C59" s="10" t="s">
        <v>205</v>
      </c>
      <c r="D59" s="19">
        <v>44318</v>
      </c>
      <c r="E59" s="10">
        <v>90</v>
      </c>
      <c r="F59" s="10" t="s">
        <v>63</v>
      </c>
      <c r="G59" s="10" t="s">
        <v>206</v>
      </c>
    </row>
    <row r="60" spans="1:7" x14ac:dyDescent="0.3">
      <c r="A60" s="10">
        <v>59</v>
      </c>
      <c r="B60" s="11">
        <v>168</v>
      </c>
      <c r="C60" s="10" t="s">
        <v>207</v>
      </c>
      <c r="D60" s="19">
        <v>44318</v>
      </c>
      <c r="E60" s="10">
        <v>230</v>
      </c>
      <c r="F60" s="10" t="s">
        <v>209</v>
      </c>
      <c r="G60" s="10" t="s">
        <v>208</v>
      </c>
    </row>
    <row r="61" spans="1:7" x14ac:dyDescent="0.3">
      <c r="A61" s="10">
        <v>60</v>
      </c>
      <c r="B61" s="11">
        <v>170</v>
      </c>
      <c r="C61" s="10" t="s">
        <v>162</v>
      </c>
      <c r="D61" s="19">
        <v>44318</v>
      </c>
      <c r="E61" s="10">
        <v>120</v>
      </c>
      <c r="F61" s="10" t="s">
        <v>68</v>
      </c>
      <c r="G61" s="10" t="s">
        <v>210</v>
      </c>
    </row>
    <row r="62" spans="1:7" x14ac:dyDescent="0.3">
      <c r="A62" s="10">
        <v>61</v>
      </c>
      <c r="B62" s="11">
        <v>171</v>
      </c>
      <c r="C62" s="10" t="s">
        <v>211</v>
      </c>
      <c r="D62" s="19">
        <v>44318</v>
      </c>
      <c r="E62" s="10">
        <v>8</v>
      </c>
      <c r="F62" s="10" t="s">
        <v>66</v>
      </c>
      <c r="G62" s="10" t="s">
        <v>212</v>
      </c>
    </row>
    <row r="63" spans="1:7" x14ac:dyDescent="0.3">
      <c r="A63" s="10">
        <v>62</v>
      </c>
      <c r="B63" s="11">
        <v>172</v>
      </c>
      <c r="C63" s="10" t="s">
        <v>213</v>
      </c>
      <c r="D63" s="19">
        <v>44318</v>
      </c>
      <c r="E63" s="10">
        <v>440</v>
      </c>
      <c r="F63" s="10" t="s">
        <v>215</v>
      </c>
      <c r="G63" s="10" t="s">
        <v>214</v>
      </c>
    </row>
    <row r="64" spans="1:7" x14ac:dyDescent="0.3">
      <c r="A64" s="10">
        <v>63</v>
      </c>
      <c r="B64" s="11">
        <v>173</v>
      </c>
      <c r="C64" s="10" t="s">
        <v>216</v>
      </c>
      <c r="D64" s="19">
        <v>44318</v>
      </c>
      <c r="E64" s="10">
        <v>282</v>
      </c>
      <c r="F64" s="10" t="s">
        <v>218</v>
      </c>
      <c r="G64" s="10" t="s">
        <v>217</v>
      </c>
    </row>
    <row r="65" spans="1:7" x14ac:dyDescent="0.3">
      <c r="A65" s="10">
        <v>64</v>
      </c>
      <c r="B65" s="11">
        <v>174</v>
      </c>
      <c r="C65" s="10" t="s">
        <v>219</v>
      </c>
      <c r="D65" s="19">
        <v>44318</v>
      </c>
      <c r="E65" s="10">
        <v>340</v>
      </c>
      <c r="F65" s="10" t="s">
        <v>221</v>
      </c>
      <c r="G65" s="10" t="s">
        <v>220</v>
      </c>
    </row>
    <row r="66" spans="1:7" x14ac:dyDescent="0.3">
      <c r="A66" s="10">
        <v>65</v>
      </c>
      <c r="B66" s="11">
        <v>175</v>
      </c>
      <c r="C66" s="10" t="s">
        <v>222</v>
      </c>
      <c r="D66" s="19">
        <v>44318</v>
      </c>
      <c r="E66" s="10">
        <v>180</v>
      </c>
      <c r="F66" s="10" t="s">
        <v>64</v>
      </c>
      <c r="G66" s="10" t="s">
        <v>223</v>
      </c>
    </row>
    <row r="67" spans="1:7" x14ac:dyDescent="0.3">
      <c r="A67" s="10">
        <v>66</v>
      </c>
      <c r="B67" s="11">
        <v>176</v>
      </c>
      <c r="C67" s="10" t="s">
        <v>225</v>
      </c>
      <c r="D67" s="19">
        <v>44318</v>
      </c>
      <c r="E67" s="10">
        <v>225</v>
      </c>
      <c r="F67" s="10" t="s">
        <v>63</v>
      </c>
      <c r="G67" s="10" t="s">
        <v>226</v>
      </c>
    </row>
    <row r="68" spans="1:7" x14ac:dyDescent="0.3">
      <c r="A68" s="10">
        <v>67</v>
      </c>
      <c r="B68" s="11">
        <v>177</v>
      </c>
      <c r="C68" s="10" t="s">
        <v>227</v>
      </c>
      <c r="D68" s="19">
        <v>44318</v>
      </c>
      <c r="E68" s="10">
        <v>500</v>
      </c>
      <c r="F68" s="10" t="s">
        <v>62</v>
      </c>
      <c r="G68" s="10" t="s">
        <v>228</v>
      </c>
    </row>
    <row r="69" spans="1:7" x14ac:dyDescent="0.3">
      <c r="A69" s="10">
        <v>68</v>
      </c>
      <c r="B69" s="11">
        <v>178</v>
      </c>
      <c r="C69" s="10" t="s">
        <v>229</v>
      </c>
      <c r="D69" s="19">
        <v>44318</v>
      </c>
      <c r="E69" s="10">
        <v>800</v>
      </c>
      <c r="F69" s="10" t="s">
        <v>66</v>
      </c>
      <c r="G69" s="10" t="s">
        <v>230</v>
      </c>
    </row>
  </sheetData>
  <sheetProtection algorithmName="SHA-512" hashValue="nUXVavtrA7IfaYS8CofB6urQsFd7lVO6vipPB5MxZgIgYVszoLuUc2HUoYye74F6adswnpOGCDoKHcyKRPPEPA==" saltValue="G+Rx339RLdKMzl880HYyeA==" spinCount="100000" sheet="1" objects="1" scenarios="1"/>
  <customSheetViews>
    <customSheetView guid="{8DC053BE-EB89-4885-89A0-24C42D97A77D}" showPageBreaks="1" printArea="1">
      <selection activeCell="G11" sqref="G11"/>
      <pageMargins left="0.7" right="0.7" top="0.75" bottom="0.75" header="0.3" footer="0.3"/>
      <pageSetup orientation="portrait" r:id="rId1"/>
    </customSheetView>
    <customSheetView guid="{8FE8D380-9834-4D13-8274-5A880500ABE9}" showPageBreaks="1" printArea="1" hiddenColumns="1" topLeftCell="B1">
      <selection sqref="A1:A1048576"/>
      <pageMargins left="0.7" right="0.7" top="0.75" bottom="0.75" header="0.3" footer="0.3"/>
      <pageSetup orientation="portrait" r:id="rId2"/>
    </customSheetView>
    <customSheetView guid="{FFE8592F-0ABA-4B06-8608-574265821AC0}" showPageBreaks="1" printArea="1" hiddenRows="1" hiddenColumns="1" topLeftCell="B2">
      <selection activeCell="B1" sqref="A1:XFD1"/>
      <pageMargins left="0.7" right="0.7" top="0.75" bottom="0.75" header="0.3" footer="0.3"/>
      <pageSetup orientation="portrait" r:id="rId3"/>
    </customSheetView>
  </customSheetViews>
  <pageMargins left="0.7" right="0.7" top="0.75" bottom="0.75" header="0.3" footer="0.3"/>
  <pageSetup orientation="portrait"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A5E8DE-5D41-47C7-B7F4-28F47E4F1C78}">
  <sheetPr codeName="Sheet4"/>
  <dimension ref="A1:L55"/>
  <sheetViews>
    <sheetView zoomScaleNormal="100" workbookViewId="0">
      <selection activeCell="F23" sqref="F23"/>
    </sheetView>
  </sheetViews>
  <sheetFormatPr defaultRowHeight="14.4" x14ac:dyDescent="0.3"/>
  <cols>
    <col min="1" max="1" width="15.6640625" style="1" bestFit="1" customWidth="1"/>
    <col min="2" max="2" width="14" style="1" customWidth="1"/>
    <col min="3" max="3" width="13.5546875" customWidth="1"/>
  </cols>
  <sheetData>
    <row r="1" spans="1:12" ht="15.6" x14ac:dyDescent="0.3">
      <c r="A1" s="2" t="s">
        <v>13</v>
      </c>
      <c r="B1" s="2" t="s">
        <v>14</v>
      </c>
      <c r="C1" s="2" t="s">
        <v>163</v>
      </c>
    </row>
    <row r="2" spans="1:12" x14ac:dyDescent="0.3">
      <c r="A2" s="7" t="s">
        <v>15</v>
      </c>
      <c r="B2" s="1" t="s">
        <v>60</v>
      </c>
      <c r="C2" s="1">
        <v>1</v>
      </c>
    </row>
    <row r="3" spans="1:12" x14ac:dyDescent="0.3">
      <c r="A3" s="7" t="s">
        <v>16</v>
      </c>
      <c r="B3" s="1" t="s">
        <v>61</v>
      </c>
      <c r="C3" s="1">
        <v>0</v>
      </c>
    </row>
    <row r="4" spans="1:12" x14ac:dyDescent="0.3">
      <c r="A4" s="7" t="s">
        <v>17</v>
      </c>
      <c r="B4" s="1" t="s">
        <v>62</v>
      </c>
      <c r="C4" s="1">
        <v>42</v>
      </c>
    </row>
    <row r="5" spans="1:12" x14ac:dyDescent="0.3">
      <c r="A5" s="7" t="s">
        <v>18</v>
      </c>
      <c r="B5" s="1" t="s">
        <v>63</v>
      </c>
      <c r="C5" s="1">
        <v>10</v>
      </c>
    </row>
    <row r="6" spans="1:12" x14ac:dyDescent="0.3">
      <c r="A6" s="7" t="s">
        <v>19</v>
      </c>
      <c r="B6" s="1" t="s">
        <v>64</v>
      </c>
      <c r="C6" s="1">
        <v>16</v>
      </c>
    </row>
    <row r="7" spans="1:12" x14ac:dyDescent="0.3">
      <c r="A7" s="7" t="s">
        <v>20</v>
      </c>
      <c r="B7" s="1" t="s">
        <v>65</v>
      </c>
      <c r="C7" s="1">
        <v>0</v>
      </c>
      <c r="H7" s="62">
        <f>SUM(C:C)</f>
        <v>864</v>
      </c>
      <c r="I7" s="62"/>
      <c r="J7" s="62"/>
      <c r="K7" s="62"/>
      <c r="L7" s="62"/>
    </row>
    <row r="8" spans="1:12" x14ac:dyDescent="0.3">
      <c r="A8" s="7" t="s">
        <v>21</v>
      </c>
      <c r="B8" s="1" t="s">
        <v>66</v>
      </c>
      <c r="C8" s="1">
        <v>14</v>
      </c>
      <c r="H8" s="62"/>
      <c r="I8" s="62"/>
      <c r="J8" s="62"/>
      <c r="K8" s="62"/>
      <c r="L8" s="62"/>
    </row>
    <row r="9" spans="1:12" x14ac:dyDescent="0.3">
      <c r="A9" s="7" t="s">
        <v>22</v>
      </c>
      <c r="B9" s="1" t="s">
        <v>67</v>
      </c>
      <c r="C9" s="1">
        <v>18</v>
      </c>
      <c r="H9" s="62"/>
      <c r="I9" s="62"/>
      <c r="J9" s="62"/>
      <c r="K9" s="62"/>
      <c r="L9" s="62"/>
    </row>
    <row r="10" spans="1:12" x14ac:dyDescent="0.3">
      <c r="A10" s="7" t="s">
        <v>23</v>
      </c>
      <c r="B10" s="1" t="s">
        <v>69</v>
      </c>
      <c r="C10" s="1">
        <v>25</v>
      </c>
    </row>
    <row r="11" spans="1:12" x14ac:dyDescent="0.3">
      <c r="A11" s="7" t="s">
        <v>24</v>
      </c>
      <c r="B11" s="1" t="s">
        <v>70</v>
      </c>
      <c r="C11" s="1">
        <v>25</v>
      </c>
      <c r="H11" s="61" t="s">
        <v>161</v>
      </c>
      <c r="I11" s="61"/>
      <c r="J11" s="61"/>
      <c r="K11" s="61"/>
      <c r="L11" s="61"/>
    </row>
    <row r="12" spans="1:12" x14ac:dyDescent="0.3">
      <c r="A12" s="7" t="s">
        <v>25</v>
      </c>
      <c r="B12" s="1" t="s">
        <v>68</v>
      </c>
      <c r="C12" s="1">
        <v>20</v>
      </c>
      <c r="H12" s="61"/>
      <c r="I12" s="61"/>
      <c r="J12" s="61"/>
      <c r="K12" s="61"/>
      <c r="L12" s="61"/>
    </row>
    <row r="13" spans="1:12" x14ac:dyDescent="0.3">
      <c r="A13" s="7" t="s">
        <v>26</v>
      </c>
      <c r="B13" s="1" t="s">
        <v>71</v>
      </c>
      <c r="C13" s="1">
        <v>12</v>
      </c>
      <c r="H13" s="61"/>
      <c r="I13" s="61"/>
      <c r="J13" s="61"/>
      <c r="K13" s="61"/>
      <c r="L13" s="61"/>
    </row>
    <row r="14" spans="1:12" x14ac:dyDescent="0.3">
      <c r="A14" s="7" t="s">
        <v>27</v>
      </c>
      <c r="B14" s="1" t="s">
        <v>72</v>
      </c>
      <c r="C14" s="1">
        <v>13</v>
      </c>
    </row>
    <row r="15" spans="1:12" x14ac:dyDescent="0.3">
      <c r="A15" s="7" t="s">
        <v>28</v>
      </c>
      <c r="B15" s="1" t="s">
        <v>73</v>
      </c>
      <c r="C15" s="1">
        <v>25</v>
      </c>
    </row>
    <row r="16" spans="1:12" x14ac:dyDescent="0.3">
      <c r="A16" s="7" t="s">
        <v>29</v>
      </c>
      <c r="B16" s="1" t="s">
        <v>74</v>
      </c>
      <c r="C16" s="1">
        <v>25</v>
      </c>
    </row>
    <row r="17" spans="1:3" x14ac:dyDescent="0.3">
      <c r="A17" s="7" t="s">
        <v>30</v>
      </c>
      <c r="B17" s="1" t="s">
        <v>84</v>
      </c>
      <c r="C17" s="1">
        <v>25</v>
      </c>
    </row>
    <row r="18" spans="1:3" x14ac:dyDescent="0.3">
      <c r="A18" s="7" t="s">
        <v>31</v>
      </c>
      <c r="B18" s="1" t="s">
        <v>75</v>
      </c>
      <c r="C18" s="1">
        <v>25</v>
      </c>
    </row>
    <row r="19" spans="1:3" x14ac:dyDescent="0.3">
      <c r="A19" s="7" t="s">
        <v>32</v>
      </c>
      <c r="B19" s="1" t="s">
        <v>76</v>
      </c>
      <c r="C19" s="1">
        <v>25</v>
      </c>
    </row>
    <row r="20" spans="1:3" x14ac:dyDescent="0.3">
      <c r="A20" s="7" t="s">
        <v>33</v>
      </c>
      <c r="B20" s="1" t="s">
        <v>77</v>
      </c>
      <c r="C20" s="1">
        <v>25</v>
      </c>
    </row>
    <row r="21" spans="1:3" x14ac:dyDescent="0.3">
      <c r="A21" s="7" t="s">
        <v>34</v>
      </c>
      <c r="B21" s="1" t="s">
        <v>78</v>
      </c>
      <c r="C21" s="1">
        <v>20</v>
      </c>
    </row>
    <row r="22" spans="1:3" x14ac:dyDescent="0.3">
      <c r="A22" s="7" t="s">
        <v>35</v>
      </c>
      <c r="B22" s="1" t="s">
        <v>79</v>
      </c>
      <c r="C22" s="1">
        <v>0</v>
      </c>
    </row>
    <row r="23" spans="1:3" x14ac:dyDescent="0.3">
      <c r="A23" s="7" t="s">
        <v>36</v>
      </c>
      <c r="B23" s="1" t="s">
        <v>80</v>
      </c>
      <c r="C23" s="1">
        <v>20</v>
      </c>
    </row>
    <row r="24" spans="1:3" x14ac:dyDescent="0.3">
      <c r="A24" s="7" t="s">
        <v>37</v>
      </c>
      <c r="B24" s="1" t="s">
        <v>81</v>
      </c>
      <c r="C24" s="1">
        <v>4</v>
      </c>
    </row>
    <row r="25" spans="1:3" x14ac:dyDescent="0.3">
      <c r="A25" s="7" t="s">
        <v>38</v>
      </c>
      <c r="B25" s="1" t="s">
        <v>82</v>
      </c>
      <c r="C25" s="1">
        <v>25</v>
      </c>
    </row>
    <row r="26" spans="1:3" x14ac:dyDescent="0.3">
      <c r="A26" s="7" t="s">
        <v>39</v>
      </c>
      <c r="B26" s="1" t="s">
        <v>83</v>
      </c>
      <c r="C26" s="1">
        <v>15</v>
      </c>
    </row>
    <row r="27" spans="1:3" x14ac:dyDescent="0.3">
      <c r="A27" s="7" t="s">
        <v>40</v>
      </c>
      <c r="B27" s="1" t="s">
        <v>104</v>
      </c>
      <c r="C27" s="1">
        <v>25</v>
      </c>
    </row>
    <row r="28" spans="1:3" x14ac:dyDescent="0.3">
      <c r="A28" s="7" t="s">
        <v>41</v>
      </c>
      <c r="B28" s="1" t="s">
        <v>85</v>
      </c>
      <c r="C28" s="1">
        <v>5</v>
      </c>
    </row>
    <row r="29" spans="1:3" x14ac:dyDescent="0.3">
      <c r="A29" s="7" t="s">
        <v>42</v>
      </c>
      <c r="B29" s="1" t="s">
        <v>86</v>
      </c>
      <c r="C29" s="1">
        <v>25</v>
      </c>
    </row>
    <row r="30" spans="1:3" x14ac:dyDescent="0.3">
      <c r="A30" s="7" t="s">
        <v>43</v>
      </c>
      <c r="B30" s="1" t="s">
        <v>87</v>
      </c>
      <c r="C30" s="1">
        <v>25</v>
      </c>
    </row>
    <row r="31" spans="1:3" x14ac:dyDescent="0.3">
      <c r="A31" s="7" t="s">
        <v>44</v>
      </c>
      <c r="B31" s="1" t="s">
        <v>88</v>
      </c>
      <c r="C31" s="1">
        <v>25</v>
      </c>
    </row>
    <row r="32" spans="1:3" x14ac:dyDescent="0.3">
      <c r="A32" s="7" t="s">
        <v>45</v>
      </c>
      <c r="B32" s="1" t="s">
        <v>89</v>
      </c>
      <c r="C32" s="1">
        <v>25</v>
      </c>
    </row>
    <row r="33" spans="1:3" x14ac:dyDescent="0.3">
      <c r="A33" s="7" t="s">
        <v>46</v>
      </c>
      <c r="B33" s="1" t="s">
        <v>90</v>
      </c>
      <c r="C33" s="1">
        <v>25</v>
      </c>
    </row>
    <row r="34" spans="1:3" x14ac:dyDescent="0.3">
      <c r="A34" s="7" t="s">
        <v>47</v>
      </c>
      <c r="B34" s="1" t="s">
        <v>91</v>
      </c>
      <c r="C34" s="1">
        <v>25</v>
      </c>
    </row>
    <row r="35" spans="1:3" x14ac:dyDescent="0.3">
      <c r="A35" s="7" t="s">
        <v>48</v>
      </c>
      <c r="B35" s="1" t="s">
        <v>92</v>
      </c>
      <c r="C35" s="1">
        <v>25</v>
      </c>
    </row>
    <row r="36" spans="1:3" x14ac:dyDescent="0.3">
      <c r="A36" s="7" t="s">
        <v>49</v>
      </c>
      <c r="B36" s="1" t="s">
        <v>93</v>
      </c>
      <c r="C36" s="1">
        <v>25</v>
      </c>
    </row>
    <row r="37" spans="1:3" x14ac:dyDescent="0.3">
      <c r="A37" s="7" t="s">
        <v>50</v>
      </c>
      <c r="B37" s="1" t="s">
        <v>94</v>
      </c>
      <c r="C37" s="1">
        <v>23</v>
      </c>
    </row>
    <row r="38" spans="1:3" x14ac:dyDescent="0.3">
      <c r="A38" s="7" t="s">
        <v>51</v>
      </c>
      <c r="B38" s="1" t="s">
        <v>95</v>
      </c>
      <c r="C38" s="1">
        <v>25</v>
      </c>
    </row>
    <row r="39" spans="1:3" x14ac:dyDescent="0.3">
      <c r="A39" s="7" t="s">
        <v>52</v>
      </c>
      <c r="B39" s="1" t="s">
        <v>96</v>
      </c>
      <c r="C39" s="1">
        <v>21</v>
      </c>
    </row>
    <row r="40" spans="1:3" x14ac:dyDescent="0.3">
      <c r="A40" s="7" t="s">
        <v>53</v>
      </c>
      <c r="B40" s="1" t="s">
        <v>97</v>
      </c>
      <c r="C40" s="1">
        <v>21</v>
      </c>
    </row>
    <row r="41" spans="1:3" x14ac:dyDescent="0.3">
      <c r="A41" s="7" t="s">
        <v>54</v>
      </c>
      <c r="B41" s="1" t="s">
        <v>98</v>
      </c>
      <c r="C41" s="1">
        <v>21</v>
      </c>
    </row>
    <row r="42" spans="1:3" x14ac:dyDescent="0.3">
      <c r="A42" s="7" t="s">
        <v>55</v>
      </c>
      <c r="B42" s="1" t="s">
        <v>99</v>
      </c>
      <c r="C42" s="1">
        <v>0</v>
      </c>
    </row>
    <row r="43" spans="1:3" x14ac:dyDescent="0.3">
      <c r="A43" s="7" t="s">
        <v>56</v>
      </c>
      <c r="B43" s="1" t="s">
        <v>100</v>
      </c>
      <c r="C43" s="1">
        <v>21</v>
      </c>
    </row>
    <row r="44" spans="1:3" x14ac:dyDescent="0.3">
      <c r="A44" s="7" t="s">
        <v>57</v>
      </c>
      <c r="B44" s="1" t="s">
        <v>101</v>
      </c>
      <c r="C44" s="1">
        <v>25</v>
      </c>
    </row>
    <row r="45" spans="1:3" x14ac:dyDescent="0.3">
      <c r="A45" s="7" t="s">
        <v>58</v>
      </c>
      <c r="B45" s="1" t="s">
        <v>102</v>
      </c>
      <c r="C45" s="1">
        <v>25</v>
      </c>
    </row>
    <row r="46" spans="1:3" x14ac:dyDescent="0.3">
      <c r="A46" s="7" t="s">
        <v>59</v>
      </c>
      <c r="B46" s="1" t="s">
        <v>103</v>
      </c>
      <c r="C46" s="1">
        <v>22</v>
      </c>
    </row>
    <row r="47" spans="1:3" x14ac:dyDescent="0.3">
      <c r="A47" s="7"/>
    </row>
    <row r="48" spans="1:3" x14ac:dyDescent="0.3">
      <c r="A48" s="7"/>
    </row>
    <row r="49" spans="1:1" x14ac:dyDescent="0.3">
      <c r="A49" s="7"/>
    </row>
    <row r="50" spans="1:1" x14ac:dyDescent="0.3">
      <c r="A50" s="7"/>
    </row>
    <row r="51" spans="1:1" x14ac:dyDescent="0.3">
      <c r="A51" s="7"/>
    </row>
    <row r="52" spans="1:1" x14ac:dyDescent="0.3">
      <c r="A52" s="7"/>
    </row>
    <row r="53" spans="1:1" x14ac:dyDescent="0.3">
      <c r="A53" s="7"/>
    </row>
    <row r="54" spans="1:1" x14ac:dyDescent="0.3">
      <c r="A54" s="7"/>
    </row>
    <row r="55" spans="1:1" x14ac:dyDescent="0.3">
      <c r="A55" s="7"/>
    </row>
  </sheetData>
  <sheetProtection algorithmName="SHA-512" hashValue="Psj9yXHz9QY3bIdGb0OxGdRvjkSbYPZV9Ayksp9WufRB5inqWEi4vyzmVtaknymfviokCsTwFAB/eD8MZVcb8A==" saltValue="9/ubyIpJfR/zkYv1EHNPGw==" spinCount="100000" sheet="1" objects="1" scenarios="1"/>
  <customSheetViews>
    <customSheetView guid="{8DC053BE-EB89-4885-89A0-24C42D97A77D}">
      <selection activeCell="I17" sqref="I17"/>
      <pageMargins left="0.7" right="0.7" top="0.75" bottom="0.75" header="0.3" footer="0.3"/>
    </customSheetView>
    <customSheetView guid="{8FE8D380-9834-4D13-8274-5A880500ABE9}">
      <selection activeCell="I17" sqref="I17"/>
      <pageMargins left="0.7" right="0.7" top="0.75" bottom="0.75" header="0.3" footer="0.3"/>
    </customSheetView>
    <customSheetView guid="{FFE8592F-0ABA-4B06-8608-574265821AC0}">
      <selection activeCell="I17" sqref="I17"/>
      <pageMargins left="0.7" right="0.7" top="0.75" bottom="0.75" header="0.3" footer="0.3"/>
    </customSheetView>
  </customSheetViews>
  <mergeCells count="2">
    <mergeCell ref="H11:L13"/>
    <mergeCell ref="H7:L9"/>
  </mergeCells>
  <phoneticPr fontId="7" type="noConversion"/>
  <conditionalFormatting sqref="C1:C46">
    <cfRule type="cellIs" dxfId="3" priority="1" operator="equal">
      <formula>0</formula>
    </cfRule>
    <cfRule type="cellIs" dxfId="2" priority="2" operator="equal">
      <formula>0</formula>
    </cfRule>
    <cfRule type="cellIs" dxfId="1" priority="3" operator="between">
      <formula>1</formula>
      <formula>10</formula>
    </cfRule>
    <cfRule type="cellIs" dxfId="0" priority="4" operator="equal">
      <formula>0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9D2F7-1555-48B3-A2D1-8ED194D4A2D4}">
  <sheetPr codeName="Sheet5"/>
  <dimension ref="A1:B8"/>
  <sheetViews>
    <sheetView workbookViewId="0">
      <selection activeCell="H27" sqref="H27"/>
    </sheetView>
  </sheetViews>
  <sheetFormatPr defaultRowHeight="14.4" x14ac:dyDescent="0.3"/>
  <cols>
    <col min="1" max="1" width="15.21875" customWidth="1"/>
  </cols>
  <sheetData>
    <row r="1" spans="1:2" x14ac:dyDescent="0.3">
      <c r="A1" t="s">
        <v>125</v>
      </c>
      <c r="B1">
        <v>0</v>
      </c>
    </row>
    <row r="2" spans="1:2" x14ac:dyDescent="0.3">
      <c r="A2" t="s">
        <v>126</v>
      </c>
      <c r="B2">
        <v>17</v>
      </c>
    </row>
    <row r="3" spans="1:2" x14ac:dyDescent="0.3">
      <c r="A3" t="s">
        <v>127</v>
      </c>
      <c r="B3">
        <v>178</v>
      </c>
    </row>
    <row r="6" spans="1:2" x14ac:dyDescent="0.3">
      <c r="A6" s="63" t="s">
        <v>190</v>
      </c>
      <c r="B6" s="63"/>
    </row>
    <row r="7" spans="1:2" x14ac:dyDescent="0.3">
      <c r="A7" t="s">
        <v>119</v>
      </c>
    </row>
    <row r="8" spans="1:2" x14ac:dyDescent="0.3">
      <c r="A8" t="s">
        <v>191</v>
      </c>
    </row>
  </sheetData>
  <sheetProtection algorithmName="SHA-512" hashValue="7yPvo/GyayEaCGlEZAQXSAlopKvbhyL0BgmPKBcZK3fvmwxUqcgSGWhsDPHKcWgwo7Ya92ELAKiFApo5R1A8NA==" saltValue="xgNH7JXFR3OwXgML5bE35A==" spinCount="100000" sheet="1" objects="1" scenarios="1"/>
  <mergeCells count="1">
    <mergeCell ref="A6:B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E7A6C-06EF-458A-84F5-9B75FA23A464}">
  <sheetPr codeName="stb_3"/>
  <dimension ref="A1:Q32"/>
  <sheetViews>
    <sheetView showGridLines="0" zoomScale="85" zoomScaleNormal="85" workbookViewId="0">
      <selection activeCell="R22" sqref="R22"/>
    </sheetView>
  </sheetViews>
  <sheetFormatPr defaultRowHeight="14.4" x14ac:dyDescent="0.3"/>
  <cols>
    <col min="1" max="1" width="6.77734375" style="3" customWidth="1"/>
    <col min="2" max="2" width="8.88671875" style="3"/>
    <col min="3" max="3" width="12.33203125" style="3" bestFit="1" customWidth="1"/>
    <col min="4" max="4" width="8.88671875" style="3"/>
    <col min="5" max="5" width="7.109375" style="3" customWidth="1"/>
    <col min="6" max="6" width="10.88671875" style="3" customWidth="1"/>
    <col min="7" max="7" width="9" style="3" customWidth="1"/>
    <col min="8" max="8" width="10.6640625" style="3" customWidth="1"/>
    <col min="9" max="13" width="8.88671875" style="3"/>
    <col min="14" max="14" width="8.88671875" style="3" customWidth="1"/>
    <col min="15" max="16" width="8.88671875" style="3"/>
    <col min="17" max="17" width="17.5546875" style="3" customWidth="1"/>
    <col min="18" max="16384" width="8.88671875" style="3"/>
  </cols>
  <sheetData>
    <row r="1" spans="1:17" ht="15" customHeight="1" thickTop="1" x14ac:dyDescent="0.3">
      <c r="A1" s="50" t="s">
        <v>0</v>
      </c>
      <c r="B1" s="47" t="s">
        <v>2</v>
      </c>
      <c r="C1" s="48"/>
      <c r="D1" s="48"/>
      <c r="E1" s="48"/>
      <c r="F1" s="48"/>
      <c r="G1" s="48"/>
      <c r="H1" s="39"/>
      <c r="I1" s="40"/>
      <c r="J1" s="24"/>
    </row>
    <row r="2" spans="1:17" ht="15" customHeight="1" thickBot="1" x14ac:dyDescent="0.35">
      <c r="A2" s="51"/>
      <c r="B2" s="49"/>
      <c r="C2" s="49"/>
      <c r="D2" s="49"/>
      <c r="E2" s="49"/>
      <c r="F2" s="49"/>
      <c r="G2" s="49"/>
      <c r="H2" s="41"/>
      <c r="I2" s="42"/>
      <c r="J2" s="20"/>
      <c r="L2" s="24"/>
      <c r="M2" s="66">
        <f>ALL_PRODUCTS!H7</f>
        <v>864</v>
      </c>
      <c r="N2" s="66"/>
      <c r="O2" s="66"/>
      <c r="P2" s="66"/>
      <c r="Q2" s="66"/>
    </row>
    <row r="3" spans="1:17" ht="15" thickTop="1" x14ac:dyDescent="0.3">
      <c r="A3" s="22"/>
      <c r="B3" s="22"/>
      <c r="C3" s="5"/>
      <c r="D3" s="22"/>
      <c r="E3" s="5"/>
      <c r="F3" s="5"/>
      <c r="G3" s="22"/>
      <c r="H3" s="22"/>
      <c r="I3" s="22"/>
      <c r="J3" s="13"/>
      <c r="L3" s="24"/>
      <c r="M3" s="66"/>
      <c r="N3" s="66"/>
      <c r="O3" s="66"/>
      <c r="P3" s="66"/>
      <c r="Q3" s="66"/>
    </row>
    <row r="4" spans="1:17" x14ac:dyDescent="0.3">
      <c r="A4" s="44" t="s">
        <v>1</v>
      </c>
      <c r="B4" s="44"/>
      <c r="C4" s="44"/>
      <c r="D4" s="22"/>
      <c r="E4" s="22"/>
      <c r="F4" s="22"/>
      <c r="G4" s="16" t="s">
        <v>113</v>
      </c>
      <c r="H4" s="46" t="s">
        <v>115</v>
      </c>
      <c r="I4" s="46"/>
      <c r="M4" s="66"/>
      <c r="N4" s="66"/>
      <c r="O4" s="66"/>
      <c r="P4" s="66"/>
      <c r="Q4" s="66"/>
    </row>
    <row r="5" spans="1:17" x14ac:dyDescent="0.3">
      <c r="A5" s="52" t="s">
        <v>108</v>
      </c>
      <c r="B5" s="52"/>
      <c r="C5" s="52"/>
      <c r="D5" s="52"/>
      <c r="E5" s="22"/>
      <c r="F5" s="22"/>
      <c r="G5" s="16" t="s">
        <v>114</v>
      </c>
      <c r="H5" s="46" t="s">
        <v>116</v>
      </c>
      <c r="I5" s="46"/>
      <c r="M5" s="66"/>
      <c r="N5" s="66"/>
      <c r="O5" s="66"/>
      <c r="P5" s="66"/>
      <c r="Q5" s="66"/>
    </row>
    <row r="6" spans="1:17" x14ac:dyDescent="0.3">
      <c r="A6" s="52"/>
      <c r="B6" s="52"/>
      <c r="C6" s="52"/>
      <c r="D6" s="52"/>
      <c r="E6" s="22"/>
      <c r="F6" s="22"/>
      <c r="G6" s="16" t="s">
        <v>117</v>
      </c>
      <c r="H6" s="56" t="s">
        <v>118</v>
      </c>
      <c r="I6" s="56"/>
      <c r="M6" s="66"/>
      <c r="N6" s="66"/>
      <c r="O6" s="66"/>
      <c r="P6" s="66"/>
      <c r="Q6" s="66"/>
    </row>
    <row r="7" spans="1:17" x14ac:dyDescent="0.3">
      <c r="A7" s="52"/>
      <c r="B7" s="52"/>
      <c r="C7" s="52"/>
      <c r="D7" s="52"/>
      <c r="E7" s="22"/>
      <c r="F7" s="22"/>
      <c r="G7" s="22"/>
      <c r="H7" s="22"/>
      <c r="I7" s="22"/>
      <c r="J7" s="22"/>
      <c r="M7" s="54" t="s">
        <v>224</v>
      </c>
      <c r="N7" s="54"/>
      <c r="O7" s="54"/>
      <c r="P7" s="54"/>
      <c r="Q7" s="54"/>
    </row>
    <row r="8" spans="1:17" x14ac:dyDescent="0.3">
      <c r="A8" s="14"/>
      <c r="B8" s="14"/>
      <c r="C8" s="14"/>
      <c r="D8" s="14"/>
      <c r="E8" s="22"/>
      <c r="F8" s="22"/>
      <c r="G8" s="15" t="s">
        <v>109</v>
      </c>
      <c r="H8" s="59">
        <v>176</v>
      </c>
      <c r="I8" s="59"/>
      <c r="M8" s="54"/>
      <c r="N8" s="54"/>
      <c r="O8" s="54"/>
      <c r="P8" s="54"/>
      <c r="Q8" s="54"/>
    </row>
    <row r="9" spans="1:17" x14ac:dyDescent="0.3">
      <c r="A9" s="44" t="s">
        <v>112</v>
      </c>
      <c r="B9" s="44"/>
      <c r="C9" s="22"/>
      <c r="D9" s="22"/>
      <c r="E9" s="22"/>
      <c r="F9" s="22"/>
      <c r="G9" s="17" t="s">
        <v>110</v>
      </c>
      <c r="H9" s="45" t="s">
        <v>111</v>
      </c>
      <c r="I9" s="45"/>
      <c r="M9" s="54"/>
      <c r="N9" s="54"/>
      <c r="O9" s="54"/>
      <c r="P9" s="54"/>
      <c r="Q9" s="54"/>
    </row>
    <row r="10" spans="1:17" x14ac:dyDescent="0.3">
      <c r="A10" s="46" t="s">
        <v>225</v>
      </c>
      <c r="B10" s="46"/>
      <c r="C10" s="46"/>
      <c r="D10" s="22"/>
      <c r="E10" s="22"/>
      <c r="F10" s="22"/>
      <c r="G10" s="22"/>
      <c r="J10" s="22"/>
      <c r="M10" s="54"/>
      <c r="N10" s="54"/>
      <c r="O10" s="54"/>
      <c r="P10" s="54"/>
      <c r="Q10" s="54"/>
    </row>
    <row r="11" spans="1:17" x14ac:dyDescent="0.3">
      <c r="A11" s="43" t="s">
        <v>226</v>
      </c>
      <c r="B11" s="43"/>
      <c r="C11" s="43"/>
      <c r="D11" s="43"/>
      <c r="E11" s="22"/>
      <c r="F11" s="22"/>
      <c r="G11" s="16" t="s">
        <v>121</v>
      </c>
      <c r="H11" s="60" t="s">
        <v>122</v>
      </c>
      <c r="I11" s="60"/>
      <c r="J11" s="22"/>
    </row>
    <row r="12" spans="1:17" x14ac:dyDescent="0.3">
      <c r="A12" s="43"/>
      <c r="B12" s="43"/>
      <c r="C12" s="43"/>
      <c r="D12" s="43"/>
      <c r="E12" s="22"/>
      <c r="F12" s="22"/>
      <c r="G12" s="22"/>
      <c r="H12" s="6"/>
      <c r="I12" s="22"/>
      <c r="J12" s="22"/>
    </row>
    <row r="13" spans="1:17" x14ac:dyDescent="0.3">
      <c r="A13" s="23"/>
      <c r="B13" s="23"/>
      <c r="C13" s="23"/>
      <c r="D13" s="23"/>
      <c r="E13" s="22"/>
      <c r="F13" s="22"/>
      <c r="G13" s="22"/>
      <c r="H13" s="6"/>
      <c r="I13" s="22"/>
      <c r="J13" s="22"/>
    </row>
    <row r="14" spans="1:17" x14ac:dyDescent="0.3">
      <c r="A14" s="22"/>
      <c r="B14" s="22"/>
      <c r="C14" s="22"/>
      <c r="D14" s="22"/>
      <c r="E14" s="22"/>
      <c r="F14" s="22"/>
      <c r="G14" s="22"/>
      <c r="H14" s="22"/>
      <c r="I14" s="22"/>
      <c r="J14" s="22"/>
    </row>
    <row r="15" spans="1:17" x14ac:dyDescent="0.3">
      <c r="A15" s="12" t="s">
        <v>9</v>
      </c>
      <c r="B15" s="57" t="s">
        <v>10</v>
      </c>
      <c r="C15" s="58"/>
      <c r="D15" s="57" t="s">
        <v>11</v>
      </c>
      <c r="E15" s="58"/>
      <c r="F15" s="12" t="s">
        <v>3</v>
      </c>
      <c r="G15" s="12" t="s">
        <v>12</v>
      </c>
      <c r="H15" s="57" t="s">
        <v>123</v>
      </c>
      <c r="I15" s="58"/>
      <c r="J15" s="24"/>
    </row>
    <row r="16" spans="1:17" x14ac:dyDescent="0.3">
      <c r="A16" s="18">
        <v>4</v>
      </c>
      <c r="B16" s="18" t="s">
        <v>63</v>
      </c>
      <c r="C16" s="18"/>
      <c r="D16" s="18">
        <v>45</v>
      </c>
      <c r="E16" s="18"/>
      <c r="F16" s="18">
        <v>5</v>
      </c>
      <c r="G16" s="18">
        <v>45</v>
      </c>
      <c r="H16" s="18">
        <v>225</v>
      </c>
      <c r="I16" s="18"/>
      <c r="J16" s="24"/>
    </row>
    <row r="17" spans="1:17" x14ac:dyDescent="0.3">
      <c r="A17" s="64"/>
      <c r="B17" s="65" t="s">
        <v>4</v>
      </c>
      <c r="C17" s="65"/>
      <c r="D17" s="64"/>
      <c r="E17" s="64"/>
      <c r="F17" s="64"/>
      <c r="G17" s="64"/>
      <c r="H17" s="64">
        <v>225</v>
      </c>
      <c r="I17" s="64"/>
      <c r="J17" s="24"/>
    </row>
    <row r="18" spans="1:17" x14ac:dyDescent="0.3">
      <c r="A18" s="18"/>
      <c r="B18" s="18"/>
      <c r="C18" s="18"/>
      <c r="D18" s="18"/>
      <c r="E18" s="18"/>
      <c r="F18" s="18"/>
      <c r="G18" s="18"/>
      <c r="H18" s="18"/>
      <c r="I18" s="18"/>
      <c r="J18" s="24"/>
    </row>
    <row r="19" spans="1:17" x14ac:dyDescent="0.3">
      <c r="A19" s="18"/>
      <c r="B19" s="18"/>
      <c r="C19" s="18"/>
      <c r="D19" s="18"/>
      <c r="E19" s="18"/>
      <c r="F19" s="18"/>
      <c r="G19" s="24"/>
      <c r="H19" s="24"/>
      <c r="I19" s="24"/>
      <c r="J19" s="24"/>
    </row>
    <row r="20" spans="1:17" x14ac:dyDescent="0.3">
      <c r="A20" s="22"/>
      <c r="B20" s="22"/>
      <c r="C20" s="22"/>
      <c r="D20" s="22"/>
      <c r="E20" s="22"/>
      <c r="F20" s="33" t="s">
        <v>194</v>
      </c>
      <c r="G20" s="34"/>
      <c r="H20" s="30">
        <v>225</v>
      </c>
      <c r="I20" s="30"/>
      <c r="J20" s="22"/>
      <c r="M20" s="53"/>
      <c r="N20" s="53"/>
      <c r="O20" s="53"/>
      <c r="P20" s="53"/>
      <c r="Q20" s="53"/>
    </row>
    <row r="21" spans="1:17" x14ac:dyDescent="0.3">
      <c r="A21" s="27" t="s">
        <v>190</v>
      </c>
      <c r="B21" s="28"/>
      <c r="C21" s="29"/>
      <c r="D21" s="25" t="s">
        <v>191</v>
      </c>
      <c r="E21" s="22"/>
      <c r="F21" s="35" t="s">
        <v>195</v>
      </c>
      <c r="G21" s="36"/>
      <c r="H21" s="31">
        <v>112.5</v>
      </c>
      <c r="I21" s="31"/>
      <c r="J21" s="22"/>
      <c r="M21" s="53"/>
      <c r="N21" s="53"/>
      <c r="O21" s="53"/>
      <c r="P21" s="53"/>
      <c r="Q21" s="53"/>
    </row>
    <row r="22" spans="1:17" ht="23.4" x14ac:dyDescent="0.45">
      <c r="A22" s="26" t="s">
        <v>133</v>
      </c>
      <c r="B22" s="26"/>
      <c r="C22" s="26"/>
      <c r="D22" s="24"/>
      <c r="E22" s="22"/>
      <c r="F22" s="37" t="s">
        <v>196</v>
      </c>
      <c r="G22" s="38"/>
      <c r="H22" s="32">
        <v>113</v>
      </c>
      <c r="I22" s="32"/>
      <c r="J22" s="22"/>
    </row>
    <row r="23" spans="1:17" x14ac:dyDescent="0.3">
      <c r="A23" s="24"/>
      <c r="B23" s="24"/>
      <c r="C23" s="24"/>
      <c r="D23" s="24"/>
      <c r="E23" s="22"/>
      <c r="F23" s="22"/>
      <c r="G23" s="22"/>
      <c r="H23" s="22"/>
      <c r="I23" s="22"/>
      <c r="J23" s="22"/>
      <c r="M23" s="24"/>
      <c r="N23" s="24"/>
      <c r="O23" s="24"/>
      <c r="P23" s="24"/>
      <c r="Q23" s="24"/>
    </row>
    <row r="24" spans="1:17" x14ac:dyDescent="0.3">
      <c r="A24" s="24"/>
      <c r="B24" s="24"/>
      <c r="C24" s="24"/>
      <c r="D24" s="24"/>
      <c r="E24" s="22"/>
      <c r="F24" s="22"/>
      <c r="G24" s="22"/>
      <c r="H24" s="22"/>
      <c r="I24" s="22"/>
      <c r="J24" s="22"/>
      <c r="M24" s="24"/>
      <c r="N24" s="24"/>
      <c r="O24" s="24"/>
      <c r="P24" s="24"/>
      <c r="Q24" s="24"/>
    </row>
    <row r="25" spans="1:17" x14ac:dyDescent="0.3">
      <c r="A25" s="26"/>
      <c r="B25" s="26"/>
      <c r="C25" s="26"/>
      <c r="D25" s="24"/>
      <c r="E25" s="22"/>
      <c r="F25" s="22"/>
      <c r="G25" s="22"/>
      <c r="H25" s="22"/>
      <c r="I25" s="22"/>
      <c r="J25" s="22"/>
      <c r="M25" s="24"/>
      <c r="N25" s="24"/>
      <c r="O25" s="24"/>
      <c r="P25" s="24"/>
      <c r="Q25" s="24"/>
    </row>
    <row r="26" spans="1:17" x14ac:dyDescent="0.3">
      <c r="A26" s="22"/>
      <c r="B26" s="22"/>
      <c r="C26" s="22"/>
      <c r="D26" s="22"/>
      <c r="E26" s="22"/>
      <c r="F26" s="22"/>
      <c r="G26" s="22"/>
      <c r="H26" s="22"/>
      <c r="I26" s="22"/>
      <c r="J26" s="22"/>
      <c r="M26" s="24"/>
      <c r="N26" s="24"/>
      <c r="O26" s="24"/>
      <c r="P26" s="24"/>
      <c r="Q26" s="24"/>
    </row>
    <row r="27" spans="1:17" x14ac:dyDescent="0.3">
      <c r="A27" s="22"/>
      <c r="B27" s="22"/>
      <c r="C27" s="22"/>
      <c r="D27" s="22"/>
      <c r="E27" s="22"/>
      <c r="F27" s="22"/>
      <c r="G27" s="22"/>
      <c r="H27" s="22"/>
      <c r="I27" s="22"/>
      <c r="J27" s="22"/>
    </row>
    <row r="28" spans="1:17" x14ac:dyDescent="0.3">
      <c r="A28" s="22"/>
      <c r="B28" s="22"/>
      <c r="C28" s="22"/>
      <c r="D28" s="22"/>
      <c r="E28" s="22"/>
      <c r="F28" s="22"/>
      <c r="G28" s="22"/>
      <c r="H28" s="22"/>
      <c r="I28" s="22"/>
      <c r="J28" s="22"/>
    </row>
    <row r="29" spans="1:17" x14ac:dyDescent="0.3">
      <c r="A29" s="55" t="s">
        <v>120</v>
      </c>
      <c r="B29" s="55"/>
      <c r="C29" s="55"/>
      <c r="D29" s="55"/>
      <c r="E29" s="55"/>
      <c r="F29" s="55"/>
      <c r="G29" s="55"/>
      <c r="H29" s="22"/>
      <c r="I29" s="22"/>
      <c r="J29" s="22"/>
    </row>
    <row r="30" spans="1:17" x14ac:dyDescent="0.3">
      <c r="A30" s="22"/>
      <c r="B30" s="22"/>
      <c r="C30" s="22"/>
      <c r="D30" s="22"/>
      <c r="E30" s="22"/>
      <c r="F30" s="22"/>
      <c r="G30" s="22"/>
      <c r="H30" s="22"/>
      <c r="I30" s="22"/>
      <c r="J30" s="22"/>
    </row>
    <row r="31" spans="1:17" x14ac:dyDescent="0.3">
      <c r="A31" s="22"/>
      <c r="B31" s="22"/>
      <c r="C31" s="22"/>
      <c r="D31" s="22"/>
      <c r="E31" s="22"/>
      <c r="F31" s="22"/>
      <c r="G31" s="22"/>
      <c r="H31" s="22"/>
      <c r="I31" s="22"/>
      <c r="J31" s="22"/>
    </row>
    <row r="32" spans="1:17" x14ac:dyDescent="0.3">
      <c r="A32" s="22"/>
      <c r="B32" s="22"/>
      <c r="C32" s="22"/>
      <c r="D32" s="22"/>
      <c r="E32" s="22"/>
      <c r="F32" s="22"/>
      <c r="G32" s="22"/>
      <c r="H32" s="22"/>
      <c r="I32" s="22"/>
      <c r="J32" s="22"/>
    </row>
  </sheetData>
  <mergeCells count="31">
    <mergeCell ref="A25:C25"/>
    <mergeCell ref="A29:G29"/>
    <mergeCell ref="M20:Q21"/>
    <mergeCell ref="A21:C21"/>
    <mergeCell ref="F21:G21"/>
    <mergeCell ref="H21:I21"/>
    <mergeCell ref="A22:C22"/>
    <mergeCell ref="F22:G22"/>
    <mergeCell ref="H22:I22"/>
    <mergeCell ref="B15:C15"/>
    <mergeCell ref="D15:E15"/>
    <mergeCell ref="H15:I15"/>
    <mergeCell ref="B17:C17"/>
    <mergeCell ref="F20:G20"/>
    <mergeCell ref="H20:I20"/>
    <mergeCell ref="H8:I8"/>
    <mergeCell ref="A9:B9"/>
    <mergeCell ref="H9:I9"/>
    <mergeCell ref="A10:C10"/>
    <mergeCell ref="A11:D12"/>
    <mergeCell ref="H11:I11"/>
    <mergeCell ref="A1:A2"/>
    <mergeCell ref="B1:G2"/>
    <mergeCell ref="H1:I2"/>
    <mergeCell ref="M2:Q6"/>
    <mergeCell ref="A4:C4"/>
    <mergeCell ref="H4:I4"/>
    <mergeCell ref="A5:D7"/>
    <mergeCell ref="H5:I5"/>
    <mergeCell ref="H6:I6"/>
    <mergeCell ref="M7:Q10"/>
  </mergeCells>
  <hyperlinks>
    <hyperlink ref="B1" r:id="rId1" xr:uid="{C6554481-6261-48D0-8C78-D78CEFDE31BD}"/>
    <hyperlink ref="H6" r:id="rId2" xr:uid="{4BE5D923-C552-44B4-AFD4-6AEF1EF248D7}"/>
  </hyperlinks>
  <pageMargins left="0.7" right="0.7" top="0.75" bottom="0.75" header="0.3" footer="0.3"/>
  <pageSetup orientation="portrait" r:id="rId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8</vt:i4>
      </vt:variant>
    </vt:vector>
  </HeadingPairs>
  <TitlesOfParts>
    <vt:vector size="13" baseType="lpstr">
      <vt:lpstr>INVOICE</vt:lpstr>
      <vt:lpstr>PATIENT_DETAILS</vt:lpstr>
      <vt:lpstr>ALL_PRODUCTS</vt:lpstr>
      <vt:lpstr>LAST_DATA</vt:lpstr>
      <vt:lpstr>INVOICE_BACKUP</vt:lpstr>
      <vt:lpstr>all_p</vt:lpstr>
      <vt:lpstr>all_p2</vt:lpstr>
      <vt:lpstr>p_mode</vt:lpstr>
      <vt:lpstr>INVOICE_BACKUP!payment_mode</vt:lpstr>
      <vt:lpstr>payment_mode</vt:lpstr>
      <vt:lpstr>INVOICE!Print_Area</vt:lpstr>
      <vt:lpstr>INVOICE_BACKUP!Print_Area</vt:lpstr>
      <vt:lpstr>PATIENT_DETAILS!Print_Area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cp:lastPrinted>2021-05-02T06:50:13Z</cp:lastPrinted>
  <dcterms:created xsi:type="dcterms:W3CDTF">2021-04-07T08:23:00Z</dcterms:created>
  <dcterms:modified xsi:type="dcterms:W3CDTF">2021-05-02T06:53:37Z</dcterms:modified>
</cp:coreProperties>
</file>