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AB4C2351-EBE4-4C6B-B08C-079E8AC208A2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INVOICE_BACKUP" sheetId="8" state="hidden" r:id="rId5"/>
  </sheets>
  <definedNames>
    <definedName name="all_p">ALL_PRODUCTS!$A$2:$A$46</definedName>
    <definedName name="all_p2">ALL_PRODUCTS!$A$2:$B$46</definedName>
    <definedName name="p_mode">LAST_DATA!$A$7:$A$8</definedName>
    <definedName name="payment_mode" localSheetId="4">INVOICE_BACKUP!$B$26,INVOICE_BACKUP!$B$27</definedName>
    <definedName name="payment_mode">INVOICE!$B$26,INVOICE!$B$27</definedName>
    <definedName name="_xlnm.Print_Area" localSheetId="0">INVOICE!$A$1:$I$36</definedName>
    <definedName name="_xlnm.Print_Area" localSheetId="4">INVOICE_BACKUP!$A$1:$I$36</definedName>
    <definedName name="_xlnm.Print_Area" localSheetId="1">PATIENT_DETAILS!$A$1:$P$11</definedName>
    <definedName name="Z_8DC053BE_EB89_4885_89A0_24C42D97A77D_.wvu.PrintArea" localSheetId="0" hidden="1">INVOICE!$A$1:$J$36</definedName>
    <definedName name="Z_8DC053BE_EB89_4885_89A0_24C42D97A77D_.wvu.PrintArea" localSheetId="4" hidden="1">INVOICE_BACKUP!$A$1:$J$36</definedName>
    <definedName name="Z_8DC053BE_EB89_4885_89A0_24C42D97A77D_.wvu.PrintArea" localSheetId="1" hidden="1">PATIENT_DETAILS!$A$1:$P$11</definedName>
    <definedName name="Z_8FE8D380_9834_4D13_8274_5A880500ABE9_.wvu.Cols" localSheetId="1" hidden="1">PATIENT_DETAILS!$A:$A</definedName>
    <definedName name="Z_8FE8D380_9834_4D13_8274_5A880500ABE9_.wvu.PrintArea" localSheetId="0" hidden="1">INVOICE!$A$1:$J$36</definedName>
    <definedName name="Z_8FE8D380_9834_4D13_8274_5A880500ABE9_.wvu.PrintArea" localSheetId="4" hidden="1">INVOICE_BACKUP!$A$1:$J$36</definedName>
    <definedName name="Z_8FE8D380_9834_4D13_8274_5A880500ABE9_.wvu.PrintArea" localSheetId="1" hidden="1">PATIENT_DETAILS!$A$1:$P$11</definedName>
    <definedName name="Z_FFE8592F_0ABA_4B06_8608_574265821AC0_.wvu.Cols" localSheetId="1" hidden="1">PATIENT_DETAILS!$A:$A</definedName>
    <definedName name="Z_FFE8592F_0ABA_4B06_8608_574265821AC0_.wvu.PrintArea" localSheetId="0" hidden="1">INVOICE!$A$1:$J$36</definedName>
    <definedName name="Z_FFE8592F_0ABA_4B06_8608_574265821AC0_.wvu.PrintArea" localSheetId="4" hidden="1">INVOICE_BACKUP!$A$1:$J$36</definedName>
    <definedName name="Z_FFE8592F_0ABA_4B06_8608_574265821AC0_.wvu.PrintArea" localSheetId="1" hidden="1">PATIENT_DETAILS!$A$1:$P$11</definedName>
    <definedName name="Z_FFE8592F_0ABA_4B06_8608_574265821AC0_.wvu.Rows" localSheetId="1" hidden="1">PATIENT_DETAILS!$1:$1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8" l="1"/>
  <c r="H7" i="3" l="1"/>
  <c r="M2" i="1" l="1"/>
</calcChain>
</file>

<file path=xl/sharedStrings.xml><?xml version="1.0" encoding="utf-8"?>
<sst xmlns="http://schemas.openxmlformats.org/spreadsheetml/2006/main" count="395" uniqueCount="233">
  <si>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</si>
  <si>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</si>
  <si>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</si>
  <si>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</si>
  <si>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</si>
  <si>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</si>
  <si>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</si>
  <si>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</si>
  <si>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</si>
  <si>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</si>
  <si>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</si>
  <si>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</si>
  <si>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</si>
  <si>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</si>
  <si>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</si>
  <si>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</si>
  <si>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</si>
  <si>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</si>
  <si>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</si>
  <si>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</si>
  <si>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</si>
  <si>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</si>
  <si>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</si>
  <si>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</si>
  <si>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</si>
  <si>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</si>
  <si>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</si>
  <si>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</si>
  <si>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</si>
  <si>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</si>
  <si>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</si>
  <si>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</si>
  <si>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</si>
  <si>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</si>
  <si>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</si>
  <si>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</si>
  <si>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</si>
  <si>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</si>
  <si>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</si>
  <si>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</si>
  <si>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</si>
  <si>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</si>
  <si>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</si>
  <si>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</si>
  <si>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</si>
  <si>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</si>
  <si>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</si>
  <si>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</si>
  <si>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</si>
  <si>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</si>
  <si>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</si>
  <si>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</si>
  <si>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</si>
  <si>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</si>
  <si>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</si>
  <si>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</si>
  <si>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</si>
  <si>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</si>
  <si>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</si>
  <si>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</si>
  <si>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</si>
  <si>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</si>
  <si>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</si>
  <si>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</si>
  <si>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</si>
  <si>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</si>
  <si>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</si>
  <si>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</si>
  <si>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</si>
  <si>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</si>
  <si>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</si>
  <si>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</si>
  <si>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</si>
  <si>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</si>
  <si>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</si>
  <si>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</si>
  <si>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</si>
  <si>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</si>
  <si>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</si>
  <si>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</si>
  <si>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</si>
  <si>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</si>
  <si>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</si>
  <si>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</si>
  <si>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</si>
  <si>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</si>
  <si>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</si>
  <si>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</si>
  <si>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</si>
  <si>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</si>
  <si>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</si>
  <si>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</si>
  <si>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</si>
  <si>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</si>
  <si>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</si>
  <si>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</si>
  <si>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</si>
  <si>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</si>
  <si>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</si>
  <si>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</si>
  <si>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</si>
  <si>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</si>
  <si>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</si>
  <si>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</si>
  <si>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</si>
  <si>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</si>
  <si>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</si>
  <si>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</si>
  <si>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</si>
  <si>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</si>
  <si>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</si>
  <si>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>22-02-2021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</si>
  <si>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</si>
  <si>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</si>
  <si>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</si>
  <si>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</si>
  <si>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</si>
  <si>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</si>
  <si>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</si>
  <si>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CASH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</si>
  <si>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</si>
  <si>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</si>
  <si>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</si>
  <si>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</si>
  <si>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</si>
  <si>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</si>
  <si>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</si>
  <si>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</si>
  <si>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</si>
  <si>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</si>
  <si>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</si>
  <si>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</si>
  <si>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</si>
  <si>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</si>
  <si>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</si>
  <si>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</si>
  <si>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</si>
  <si>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</si>
  <si>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</si>
  <si>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</si>
  <si>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</si>
  <si>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</si>
  <si>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</si>
  <si>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</si>
  <si>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</si>
  <si>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</si>
  <si>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</si>
  <si>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</si>
  <si>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</si>
  <si>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</si>
  <si>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</si>
  <si>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</si>
  <si>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</si>
  <si>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</si>
  <si>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</si>
  <si>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</si>
  <si>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</si>
  <si>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</si>
  <si>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</si>
  <si>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</si>
  <si>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</si>
  <si>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</si>
  <si>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</si>
  <si>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</si>
  <si>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</si>
  <si>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</si>
  <si>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</si>
  <si>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</si>
  <si>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</si>
  <si>
    <t>luthor</t>
  </si>
  <si>
    <t>PNG, HC</t>
  </si>
  <si>
    <t>amar toppo</t>
  </si>
  <si>
    <t>PNG, ASTHM</t>
  </si>
  <si>
    <t>JKN, PNG, JKN</t>
  </si>
  <si>
    <t>jljljlj</t>
  </si>
  <si>
    <t>mohsin</t>
  </si>
  <si>
    <t>praise</t>
  </si>
  <si>
    <t>second</t>
  </si>
  <si>
    <t>mark</t>
  </si>
  <si>
    <t>finder</t>
  </si>
  <si>
    <t>fransisco</t>
  </si>
  <si>
    <t>JKN, ANANDAM</t>
  </si>
  <si>
    <t>ADDRESS</t>
  </si>
  <si>
    <t>kulbhushan</t>
  </si>
  <si>
    <t>namkum ranchi</t>
  </si>
  <si>
    <t>john cena</t>
  </si>
  <si>
    <t>united states</t>
  </si>
  <si>
    <t>ranchi jharkhand 834010</t>
  </si>
  <si>
    <t>UNDERTAKER</t>
  </si>
  <si>
    <t>namkum bahubazar ranchi</t>
  </si>
  <si>
    <t>MODE OF PAYMENT</t>
  </si>
  <si>
    <t>ONLINE</t>
  </si>
  <si>
    <t>ranchi</t>
  </si>
  <si>
    <t>fraaa</t>
  </si>
  <si>
    <t>Total</t>
  </si>
  <si>
    <t>Discount</t>
  </si>
  <si>
    <t>Final Total</t>
  </si>
  <si>
    <t>john helo</t>
  </si>
  <si>
    <t>ranchi jharkhand</t>
  </si>
  <si>
    <t>PRACHI DESAI</t>
  </si>
  <si>
    <t>LOHARDAGA</t>
  </si>
  <si>
    <t>LDFJLJ</t>
  </si>
  <si>
    <t>FLDJFLLF</t>
  </si>
  <si>
    <t>LAFJLJ</t>
  </si>
  <si>
    <t>FLDJFL</t>
  </si>
  <si>
    <t>MARTIN</t>
  </si>
  <si>
    <t>USA</t>
  </si>
  <si>
    <t>LDFJL</t>
  </si>
  <si>
    <t>FJFLD</t>
  </si>
  <si>
    <t>AJ100, MKP</t>
  </si>
  <si>
    <t>fldjfl</t>
  </si>
  <si>
    <t>fldj</t>
  </si>
  <si>
    <t>fjldjl</t>
  </si>
  <si>
    <t>fjldjlf</t>
  </si>
  <si>
    <t>jlfdlfj</t>
  </si>
  <si>
    <t>HC, AJ100, ANANDAM</t>
  </si>
  <si>
    <t>afldlfj</t>
  </si>
  <si>
    <t>fjdfjjfl</t>
  </si>
  <si>
    <t>GMSG, EAR DROP</t>
  </si>
  <si>
    <t>fjlfjld</t>
  </si>
  <si>
    <t>fldkf</t>
  </si>
  <si>
    <t>JKN, NEW KABJ CURE, ENT</t>
  </si>
  <si>
    <t>fjjfl</t>
  </si>
  <si>
    <t>fdfjl</t>
  </si>
  <si>
    <t>NO. OF ITEM IN STOCK</t>
  </si>
  <si>
    <t>JFLDJFL</t>
  </si>
  <si>
    <t>FLDFL</t>
  </si>
  <si>
    <t>JDFLJLDF</t>
  </si>
  <si>
    <t>FJDJFLJF</t>
  </si>
  <si>
    <t>LJLJLJL</t>
  </si>
  <si>
    <t>JLJFLAJFL</t>
  </si>
  <si>
    <t>matin</t>
  </si>
  <si>
    <t>LIPO+, KABJ CURE, KABJ CURE, KG, KIDNEY 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</si>
</sst>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applyProtection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0" fillId="0" borderId="0" xfId="0"/>
    <xf numFmtId="0" fontId="0" fillId="5" borderId="3" xfId="0" applyFont="1" applyFill="1" applyBorder="1" applyProtection="1"/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/>
    <xf numFmtId="0" fontId="15" fillId="7" borderId="0" xfId="0" applyFont="1" applyFill="1" applyBorder="1" applyAlignment="1" applyProtection="1">
      <alignment horizontal="center"/>
    </xf>
    <xf numFmtId="0" fontId="15" fillId="7" borderId="0" xfId="0" applyFont="1" applyFill="1" applyBorder="1" applyAlignment="1" applyProtection="1">
      <alignment horizontal="center"/>
    </xf>
    <xf numFmtId="0" fontId="15" fillId="7" borderId="0" xfId="0" applyFont="1" applyFill="1" applyBorder="1" applyAlignment="1" applyProtection="1">
      <alignment horizontal="center"/>
    </xf>
    <xf numFmtId="0" fontId="11" fillId="6" borderId="0" xfId="0" applyFont="1" applyFill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0" fillId="0" borderId="0" xfId="0" applyProtection="1"/>
    <xf numFmtId="0" fontId="3" fillId="0" borderId="0" xfId="1" applyProtection="1"/>
    <xf numFmtId="0" fontId="5" fillId="0" borderId="4" xfId="0" applyFont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5" borderId="4" xfId="0" applyFont="1" applyFill="1" applyBorder="1" applyAlignment="1" applyProtection="1"/>
    <xf numFmtId="0" fontId="5" fillId="5" borderId="10" xfId="0" applyFont="1" applyFill="1" applyBorder="1" applyAlignment="1" applyProtection="1"/>
    <xf numFmtId="0" fontId="5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4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3" fillId="7" borderId="13" xfId="0" applyFont="1" applyFill="1" applyBorder="1" applyAlignment="1" applyProtection="1">
      <alignment horizontal="center"/>
    </xf>
    <xf numFmtId="0" fontId="13" fillId="7" borderId="12" xfId="0" applyFont="1" applyFill="1" applyBorder="1" applyAlignment="1" applyProtection="1">
      <alignment horizontal="center"/>
    </xf>
    <xf numFmtId="0" fontId="11" fillId="6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/>
    <xf numFmtId="0" fontId="1" fillId="2" borderId="14" xfId="0" applyFont="1" applyFill="1" applyBorder="1" applyAlignment="1" applyProtection="1">
      <alignment horizontal="center" vertical="center"/>
    </xf>
    <xf numFmtId="0" fontId="1" fillId="2" borderId="15" xfId="0" applyFont="1" applyFill="1" applyBorder="1" applyAlignment="1" applyProtection="1">
      <alignment horizontal="center" vertical="center"/>
    </xf>
    <xf numFmtId="0" fontId="17" fillId="3" borderId="16" xfId="0" applyFont="1" applyFill="1" applyBorder="1" applyAlignment="1" applyProtection="1">
      <alignment horizontal="center" vertical="center"/>
    </xf>
    <xf numFmtId="0" fontId="17" fillId="3" borderId="2" xfId="0" applyFont="1" applyFill="1" applyBorder="1" applyAlignment="1" applyProtection="1">
      <alignment horizontal="center" vertical="center"/>
    </xf>
    <xf numFmtId="0" fontId="17" fillId="3" borderId="17" xfId="0" applyFont="1" applyFill="1" applyBorder="1" applyAlignment="1" applyProtection="1">
      <alignment horizontal="center" vertical="center"/>
    </xf>
    <xf numFmtId="0" fontId="17" fillId="3" borderId="1" xfId="0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7311996" y="2008095"/>
          <a:ext cx="1970315" cy="6416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9377081" y="2008094"/>
          <a:ext cx="1900518" cy="63649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D6F1573-E96A-4E6A-B825-ED8F13DE0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11</xdr:col>
      <xdr:colOff>373314</xdr:colOff>
      <xdr:row>11</xdr:row>
      <xdr:rowOff>8966</xdr:rowOff>
    </xdr:from>
    <xdr:to>
      <xdr:col>14</xdr:col>
      <xdr:colOff>514829</xdr:colOff>
      <xdr:row>14</xdr:row>
      <xdr:rowOff>112699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7A058D-9219-4186-86D9-F9A1450691AB}"/>
            </a:ext>
          </a:extLst>
        </xdr:cNvPr>
        <xdr:cNvSpPr/>
      </xdr:nvSpPr>
      <xdr:spPr>
        <a:xfrm>
          <a:off x="7315134" y="204350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14</xdr:col>
      <xdr:colOff>609599</xdr:colOff>
      <xdr:row>11</xdr:row>
      <xdr:rowOff>8965</xdr:rowOff>
    </xdr:from>
    <xdr:to>
      <xdr:col>17</xdr:col>
      <xdr:colOff>89646</xdr:colOff>
      <xdr:row>14</xdr:row>
      <xdr:rowOff>107576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B5B0E8-AA18-454A-A15B-968B97FC614B}"/>
            </a:ext>
          </a:extLst>
        </xdr:cNvPr>
        <xdr:cNvSpPr/>
      </xdr:nvSpPr>
      <xdr:spPr>
        <a:xfrm>
          <a:off x="9380219" y="2043505"/>
          <a:ext cx="1903207" cy="647251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bc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mailto:abc@gmail.com" TargetMode="External"/><Relationship Id="rId1" Type="http://schemas.openxmlformats.org/officeDocument/2006/relationships/hyperlink" Target="http://www.jharkhandaushadhalaya.com/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6"/>
  <sheetViews>
    <sheetView showGridLines="0" tabSelected="1" zoomScaleNormal="100" workbookViewId="0">
      <selection activeCell="K19" sqref="K19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" width="8.88671875" style="3"/>
    <col min="17" max="17" width="17.5546875" style="3" customWidth="1"/>
    <col min="18" max="16384" width="8.88671875" style="3"/>
  </cols>
  <sheetData>
    <row r="1" spans="1:17" ht="15" customHeight="1" thickTop="1" x14ac:dyDescent="0.3">
      <c r="A1" s="73" t="s">
        <v>0</v>
      </c>
      <c r="B1" s="74"/>
      <c r="C1" s="43" t="s">
        <v>2</v>
      </c>
      <c r="D1" s="43"/>
      <c r="E1" s="43"/>
      <c r="F1" s="43"/>
      <c r="G1" s="71"/>
      <c r="H1" s="46"/>
      <c r="I1" s="47"/>
      <c r="J1"/>
    </row>
    <row r="2" spans="1:17" ht="15" customHeight="1" thickBot="1" x14ac:dyDescent="0.35">
      <c r="A2" s="75"/>
      <c r="B2" s="76"/>
      <c r="C2" s="44"/>
      <c r="D2" s="44"/>
      <c r="E2" s="44"/>
      <c r="F2" s="44"/>
      <c r="G2" s="72"/>
      <c r="H2" s="48"/>
      <c r="I2" s="49"/>
      <c r="J2" s="20"/>
      <c r="L2"/>
      <c r="M2" s="33">
        <f>ALL_PRODUCTS!H7</f>
        <v>847</v>
      </c>
      <c r="N2" s="33"/>
      <c r="O2" s="33"/>
      <c r="P2" s="33"/>
      <c r="Q2" s="33"/>
    </row>
    <row r="3" spans="1:17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 s="33"/>
      <c r="N3" s="33"/>
      <c r="O3" s="33"/>
      <c r="P3" s="33"/>
      <c r="Q3" s="33"/>
    </row>
    <row r="4" spans="1:17" x14ac:dyDescent="0.3">
      <c r="A4" s="51" t="s">
        <v>1</v>
      </c>
      <c r="B4" s="51"/>
      <c r="C4" s="51"/>
      <c r="D4" s="4"/>
      <c r="E4" s="4"/>
      <c r="F4" s="4"/>
      <c r="G4" s="16" t="s">
        <v>113</v>
      </c>
      <c r="H4" s="36" t="s">
        <v>115</v>
      </c>
      <c r="I4" s="36"/>
      <c r="M4" s="33"/>
      <c r="N4" s="33"/>
      <c r="O4" s="33"/>
      <c r="P4" s="33"/>
      <c r="Q4" s="33"/>
    </row>
    <row r="5" spans="1:17" x14ac:dyDescent="0.3">
      <c r="A5" s="45" t="s">
        <v>108</v>
      </c>
      <c r="B5" s="45"/>
      <c r="C5" s="45"/>
      <c r="D5" s="45"/>
      <c r="E5" s="4"/>
      <c r="F5" s="4"/>
      <c r="G5" s="16" t="s">
        <v>114</v>
      </c>
      <c r="H5" s="36" t="s">
        <v>116</v>
      </c>
      <c r="I5" s="36"/>
      <c r="M5" s="33"/>
      <c r="N5" s="33"/>
      <c r="O5" s="33"/>
      <c r="P5" s="33"/>
      <c r="Q5" s="33"/>
    </row>
    <row r="6" spans="1:17" x14ac:dyDescent="0.3">
      <c r="A6" s="45"/>
      <c r="B6" s="45"/>
      <c r="C6" s="45"/>
      <c r="D6" s="45"/>
      <c r="E6" s="4"/>
      <c r="F6" s="4"/>
      <c r="G6" s="16" t="s">
        <v>117</v>
      </c>
      <c r="H6" s="37" t="s">
        <v>118</v>
      </c>
      <c r="I6" s="37"/>
      <c r="M6" s="33"/>
      <c r="N6" s="33"/>
      <c r="O6" s="33"/>
      <c r="P6" s="33"/>
      <c r="Q6" s="33"/>
    </row>
    <row r="7" spans="1:17" x14ac:dyDescent="0.3">
      <c r="A7" s="45"/>
      <c r="B7" s="45"/>
      <c r="C7" s="45"/>
      <c r="D7" s="45"/>
      <c r="E7" s="4"/>
      <c r="F7" s="4"/>
      <c r="G7" s="4"/>
      <c r="H7" s="4"/>
      <c r="I7" s="4"/>
      <c r="J7" s="4"/>
      <c r="M7" s="32" t="s">
        <v>224</v>
      </c>
      <c r="N7" s="32"/>
      <c r="O7" s="32"/>
      <c r="P7" s="32"/>
      <c r="Q7" s="32"/>
    </row>
    <row r="8" spans="1:17" x14ac:dyDescent="0.3">
      <c r="A8" s="14"/>
      <c r="B8" s="14"/>
      <c r="C8" s="14"/>
      <c r="D8" s="14"/>
      <c r="E8" s="4"/>
      <c r="F8" s="4"/>
      <c r="G8" s="15" t="s">
        <v>109</v>
      </c>
      <c r="H8" s="40">
        <v>182</v>
      </c>
      <c r="I8" s="40"/>
      <c r="M8" s="32"/>
      <c r="N8" s="32"/>
      <c r="O8" s="32"/>
      <c r="P8" s="32"/>
      <c r="Q8" s="32"/>
    </row>
    <row r="9" spans="1:17" x14ac:dyDescent="0.3">
      <c r="A9" s="51" t="s">
        <v>112</v>
      </c>
      <c r="B9" s="51"/>
      <c r="C9" s="4"/>
      <c r="D9" s="4"/>
      <c r="E9" s="4"/>
      <c r="F9" s="4"/>
      <c r="G9" s="17" t="s">
        <v>110</v>
      </c>
      <c r="H9" s="52" t="s">
        <v>111</v>
      </c>
      <c r="I9" s="52"/>
      <c r="M9" s="32"/>
      <c r="N9" s="32"/>
      <c r="O9" s="32"/>
      <c r="P9" s="32"/>
      <c r="Q9" s="32"/>
    </row>
    <row r="10" spans="1:17" x14ac:dyDescent="0.3">
      <c r="A10" s="36" t="s">
        <v>231</v>
      </c>
      <c r="B10" s="36"/>
      <c r="C10" s="36"/>
      <c r="D10" s="4"/>
      <c r="E10" s="4"/>
      <c r="F10" s="4"/>
      <c r="G10" s="4"/>
      <c r="J10" s="4"/>
      <c r="M10" s="32"/>
      <c r="N10" s="32"/>
      <c r="O10" s="32"/>
      <c r="P10" s="32"/>
      <c r="Q10" s="32"/>
    </row>
    <row r="11" spans="1:17" x14ac:dyDescent="0.3">
      <c r="A11" s="50" t="s">
        <v>192</v>
      </c>
      <c r="B11" s="50"/>
      <c r="C11" s="50"/>
      <c r="D11" s="50"/>
      <c r="E11" s="4"/>
      <c r="F11" s="4"/>
      <c r="G11" s="16" t="s">
        <v>121</v>
      </c>
      <c r="H11" s="41" t="s">
        <v>122</v>
      </c>
      <c r="I11" s="41"/>
      <c r="J11" s="4"/>
    </row>
    <row r="12" spans="1:17" x14ac:dyDescent="0.3">
      <c r="A12" s="50"/>
      <c r="B12" s="50"/>
      <c r="C12" s="50"/>
      <c r="D12" s="50"/>
      <c r="E12" s="4"/>
      <c r="F12" s="4"/>
      <c r="G12" s="4"/>
      <c r="H12" s="6"/>
      <c r="I12" s="4"/>
      <c r="J12" s="4"/>
    </row>
    <row r="13" spans="1:17" x14ac:dyDescent="0.3">
      <c r="A13" s="23"/>
      <c r="B13" s="23"/>
      <c r="C13" s="23"/>
      <c r="D13" s="23"/>
      <c r="E13" s="22"/>
      <c r="F13" s="22"/>
      <c r="G13" s="22"/>
      <c r="H13" s="6"/>
      <c r="I13" s="22"/>
      <c r="J13" s="22"/>
    </row>
    <row r="14" spans="1:17" x14ac:dyDescent="0.3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7" x14ac:dyDescent="0.3">
      <c r="A15" s="12" t="s">
        <v>9</v>
      </c>
      <c r="B15" s="38" t="s">
        <v>10</v>
      </c>
      <c r="C15" s="39"/>
      <c r="D15" s="38" t="s">
        <v>11</v>
      </c>
      <c r="E15" s="39"/>
      <c r="F15" s="12" t="s">
        <v>3</v>
      </c>
      <c r="G15" s="12" t="s">
        <v>12</v>
      </c>
      <c r="H15" s="38" t="s">
        <v>123</v>
      </c>
      <c r="I15" s="39"/>
      <c r="J15"/>
    </row>
    <row r="16" spans="1:17" x14ac:dyDescent="0.3">
      <c r="A16" s="18">
        <v>35</v>
      </c>
      <c r="B16" s="18" t="s">
        <v>93</v>
      </c>
      <c r="C16" s="18"/>
      <c r="D16" s="18">
        <v>45</v>
      </c>
      <c r="E16" s="18"/>
      <c r="F16" s="18">
        <v>4</v>
      </c>
      <c r="G16" s="18">
        <v>20</v>
      </c>
      <c r="H16" s="18">
        <v>180</v>
      </c>
      <c r="I16" s="18"/>
      <c r="J16" s="28"/>
    </row>
    <row r="17" spans="1:17" x14ac:dyDescent="0.3">
      <c r="A17" s="18">
        <v>32</v>
      </c>
      <c r="B17" s="18" t="s">
        <v>90</v>
      </c>
      <c r="C17" s="18"/>
      <c r="D17" s="18">
        <v>44</v>
      </c>
      <c r="E17" s="18"/>
      <c r="F17" s="18">
        <v>4</v>
      </c>
      <c r="G17" s="18">
        <v>20</v>
      </c>
      <c r="H17" s="18">
        <v>176</v>
      </c>
      <c r="I17" s="18"/>
      <c r="J17" s="28"/>
    </row>
    <row r="18" spans="1:17" x14ac:dyDescent="0.3">
      <c r="A18" s="18">
        <v>32</v>
      </c>
      <c r="B18" s="18" t="s">
        <v>90</v>
      </c>
      <c r="C18" s="18"/>
      <c r="D18" s="18">
        <v>50</v>
      </c>
      <c r="E18" s="18"/>
      <c r="F18" s="18">
        <v>3</v>
      </c>
      <c r="G18" s="18">
        <v>20</v>
      </c>
      <c r="H18" s="18">
        <v>150</v>
      </c>
      <c r="I18" s="18"/>
      <c r="J18" s="28"/>
    </row>
    <row r="19" spans="1:17" x14ac:dyDescent="0.3">
      <c r="A19" s="18">
        <v>33</v>
      </c>
      <c r="B19" s="18" t="s">
        <v>91</v>
      </c>
      <c r="C19" s="18"/>
      <c r="D19" s="18">
        <v>40</v>
      </c>
      <c r="E19" s="18"/>
      <c r="F19" s="18">
        <v>4</v>
      </c>
      <c r="G19" s="18">
        <v>50</v>
      </c>
      <c r="H19" s="18">
        <v>160</v>
      </c>
      <c r="I19" s="18"/>
      <c r="J19" s="28"/>
    </row>
    <row r="20" spans="1:17" x14ac:dyDescent="0.3">
      <c r="A20" s="18">
        <v>43</v>
      </c>
      <c r="B20" s="18" t="s">
        <v>101</v>
      </c>
      <c r="C20" s="18"/>
      <c r="D20" s="18">
        <v>35</v>
      </c>
      <c r="E20" s="18"/>
      <c r="F20" s="18">
        <v>4</v>
      </c>
      <c r="G20" s="18">
        <v>3</v>
      </c>
      <c r="H20" s="18">
        <v>140</v>
      </c>
      <c r="I20" s="18"/>
      <c r="J20" s="28"/>
    </row>
    <row r="21" spans="1:17" x14ac:dyDescent="0.3">
      <c r="A21" s="29"/>
      <c r="B21" s="31" t="s">
        <v>4</v>
      </c>
      <c r="C21" s="31"/>
      <c r="D21" s="29"/>
      <c r="E21" s="29"/>
      <c r="F21" s="29"/>
      <c r="G21" s="29"/>
      <c r="H21" s="29">
        <v>806</v>
      </c>
      <c r="I21" s="29"/>
      <c r="J21" s="24"/>
    </row>
    <row r="22" spans="1:17" x14ac:dyDescent="0.3">
      <c r="A22" s="18"/>
      <c r="B22" s="18"/>
      <c r="C22" s="18"/>
      <c r="D22" s="18"/>
      <c r="E22" s="18"/>
      <c r="F22" s="18"/>
      <c r="G22" s="18"/>
      <c r="H22" s="18"/>
      <c r="I22" s="18"/>
      <c r="J22" s="24"/>
    </row>
    <row r="23" spans="1:17" x14ac:dyDescent="0.3">
      <c r="A23" s="18"/>
      <c r="B23" s="18"/>
      <c r="C23" s="18"/>
      <c r="D23" s="18"/>
      <c r="E23" s="18"/>
      <c r="F23" s="18"/>
      <c r="G23"/>
      <c r="H23"/>
      <c r="I23"/>
      <c r="J23" s="24"/>
    </row>
    <row r="24" spans="1:17" x14ac:dyDescent="0.3">
      <c r="A24" s="4"/>
      <c r="B24" s="4"/>
      <c r="C24" s="4"/>
      <c r="D24" s="4"/>
      <c r="E24" s="4"/>
      <c r="F24" s="62" t="s">
        <v>194</v>
      </c>
      <c r="G24" s="63"/>
      <c r="H24" s="59">
        <v>806</v>
      </c>
      <c r="I24" s="59"/>
      <c r="J24" s="4"/>
      <c r="M24" s="34"/>
      <c r="N24" s="34"/>
      <c r="O24" s="34"/>
      <c r="P24" s="34"/>
      <c r="Q24" s="34"/>
    </row>
    <row r="25" spans="1:17" x14ac:dyDescent="0.3">
      <c r="A25" s="56" t="s">
        <v>190</v>
      </c>
      <c r="B25" s="57"/>
      <c r="C25" s="58"/>
      <c r="D25" s="25" t="s">
        <v>191</v>
      </c>
      <c r="E25" s="4"/>
      <c r="F25" s="64" t="s">
        <v>195</v>
      </c>
      <c r="G25" s="65"/>
      <c r="H25" s="60">
        <v>403</v>
      </c>
      <c r="I25" s="60"/>
      <c r="J25" s="4"/>
      <c r="M25" s="34"/>
      <c r="N25" s="34"/>
      <c r="O25" s="34"/>
      <c r="P25" s="34"/>
      <c r="Q25" s="34"/>
    </row>
    <row r="26" spans="1:17" ht="23.4" x14ac:dyDescent="0.45">
      <c r="A26" s="55" t="s">
        <v>133</v>
      </c>
      <c r="B26" s="55"/>
      <c r="C26" s="55"/>
      <c r="D26"/>
      <c r="E26" s="4"/>
      <c r="F26" s="66" t="s">
        <v>196</v>
      </c>
      <c r="G26" s="67"/>
      <c r="H26" s="61">
        <v>403</v>
      </c>
      <c r="I26" s="61"/>
      <c r="J26" s="4"/>
    </row>
    <row r="27" spans="1:17" x14ac:dyDescent="0.3">
      <c r="A27"/>
      <c r="B27"/>
      <c r="C27"/>
      <c r="D27"/>
      <c r="E27" s="4"/>
      <c r="F27" s="4"/>
      <c r="G27" s="4"/>
      <c r="H27" s="4"/>
      <c r="I27" s="4"/>
      <c r="J27" s="4"/>
      <c r="M27"/>
      <c r="N27"/>
      <c r="O27"/>
      <c r="P27"/>
      <c r="Q27"/>
    </row>
    <row r="28" spans="1:17" x14ac:dyDescent="0.3">
      <c r="A28"/>
      <c r="B28"/>
      <c r="C28"/>
      <c r="D28"/>
      <c r="E28" s="21"/>
      <c r="F28" s="21"/>
      <c r="G28" s="21"/>
      <c r="H28" s="21"/>
      <c r="I28" s="21"/>
      <c r="J28" s="21"/>
      <c r="M28"/>
      <c r="N28"/>
      <c r="O28"/>
      <c r="P28"/>
      <c r="Q28"/>
    </row>
    <row r="29" spans="1:17" x14ac:dyDescent="0.3">
      <c r="A29" s="55"/>
      <c r="B29" s="55"/>
      <c r="C29" s="55"/>
      <c r="D29"/>
      <c r="E29" s="4"/>
      <c r="F29" s="4"/>
      <c r="G29" s="4"/>
      <c r="H29" s="4"/>
      <c r="I29" s="4"/>
      <c r="J29" s="4"/>
      <c r="M29"/>
      <c r="N29"/>
      <c r="O29"/>
      <c r="P29"/>
      <c r="Q29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M30"/>
      <c r="N30"/>
      <c r="O30"/>
      <c r="P30"/>
      <c r="Q30"/>
    </row>
    <row r="31" spans="1:17" x14ac:dyDescent="0.3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7" x14ac:dyDescent="0.3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x14ac:dyDescent="0.3">
      <c r="A33" s="35" t="s">
        <v>120</v>
      </c>
      <c r="B33" s="35"/>
      <c r="C33" s="35"/>
      <c r="D33" s="35"/>
      <c r="E33" s="35"/>
      <c r="F33" s="35"/>
      <c r="G33" s="35"/>
      <c r="H33" s="4"/>
      <c r="I33" s="4"/>
      <c r="J33" s="4"/>
    </row>
    <row r="34" spans="1:10" x14ac:dyDescent="0.3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x14ac:dyDescent="0.3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x14ac:dyDescent="0.3">
      <c r="A36" s="4"/>
      <c r="B36" s="4"/>
      <c r="C36" s="4"/>
      <c r="D36" s="4"/>
      <c r="E36" s="4"/>
      <c r="F36" s="4"/>
      <c r="G36" s="4"/>
      <c r="H36" s="4"/>
      <c r="I36" s="4"/>
      <c r="J36" s="4"/>
    </row>
  </sheetData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1">
    <mergeCell ref="A29:C29"/>
    <mergeCell ref="A26:C26"/>
    <mergeCell ref="A25:C25"/>
    <mergeCell ref="H24:I24"/>
    <mergeCell ref="H25:I25"/>
    <mergeCell ref="H26:I26"/>
    <mergeCell ref="F24:G24"/>
    <mergeCell ref="F25:G25"/>
    <mergeCell ref="F26:G26"/>
    <mergeCell ref="C1:G2"/>
    <mergeCell ref="A1:B2"/>
    <mergeCell ref="A11:D12"/>
    <mergeCell ref="A4:C4"/>
    <mergeCell ref="H9:I9"/>
    <mergeCell ref="A10:C10"/>
    <mergeCell ref="A9:B9"/>
    <mergeCell ref="B21:C21"/>
    <mergeCell ref="M7:Q10"/>
    <mergeCell ref="M2:Q6"/>
    <mergeCell ref="M24:Q25"/>
    <mergeCell ref="A33:G33"/>
    <mergeCell ref="H4:I4"/>
    <mergeCell ref="H5:I5"/>
    <mergeCell ref="H6:I6"/>
    <mergeCell ref="B15:C15"/>
    <mergeCell ref="D15:E15"/>
    <mergeCell ref="H15:I15"/>
    <mergeCell ref="H8:I8"/>
    <mergeCell ref="H11:I11"/>
    <mergeCell ref="A5:D7"/>
    <mergeCell ref="H1:I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K72"/>
  <sheetViews>
    <sheetView zoomScaleNormal="100" workbookViewId="0">
      <pane ySplit="1" topLeftCell="A47" activePane="bottomLeft" state="frozen"/>
      <selection pane="bottomLeft" activeCell="C68" sqref="C68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44.21875" style="10" customWidth="1"/>
    <col min="8" max="8" width="13.109375" style="10" customWidth="1"/>
    <col min="9" max="9" width="10.5546875" style="10" customWidth="1"/>
    <col min="10" max="10" width="12.5546875" style="10" customWidth="1"/>
    <col min="11" max="11" width="14" style="10" customWidth="1"/>
  </cols>
  <sheetData>
    <row r="1" spans="1:11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182</v>
      </c>
      <c r="H1" s="8" t="s">
        <v>107</v>
      </c>
      <c r="I1"/>
      <c r="J1"/>
      <c r="K1"/>
    </row>
    <row r="2" spans="1:11" x14ac:dyDescent="0.3">
      <c r="A2" s="10">
        <v>1</v>
      </c>
      <c r="B2" s="11">
        <v>108</v>
      </c>
      <c r="C2" s="10" t="s">
        <v>129</v>
      </c>
      <c r="D2" s="19">
        <v>44315</v>
      </c>
      <c r="E2" s="10">
        <v>3510</v>
      </c>
      <c r="G2" s="10" t="s">
        <v>187</v>
      </c>
    </row>
    <row r="3" spans="1:11" x14ac:dyDescent="0.3">
      <c r="A3" s="10">
        <v>2</v>
      </c>
      <c r="B3" s="11">
        <v>109</v>
      </c>
      <c r="C3" s="10" t="s">
        <v>124</v>
      </c>
      <c r="D3" s="19">
        <v>44315</v>
      </c>
      <c r="E3" s="10">
        <v>1514</v>
      </c>
      <c r="F3" s="10" t="s">
        <v>130</v>
      </c>
      <c r="G3" s="10" t="s">
        <v>187</v>
      </c>
    </row>
    <row r="4" spans="1:11" x14ac:dyDescent="0.3">
      <c r="A4" s="10">
        <v>3</v>
      </c>
      <c r="B4" s="11">
        <v>110</v>
      </c>
      <c r="C4" s="10" t="s">
        <v>128</v>
      </c>
      <c r="D4" s="19">
        <v>44315</v>
      </c>
      <c r="E4" s="10">
        <v>162</v>
      </c>
      <c r="F4" s="10" t="s">
        <v>131</v>
      </c>
      <c r="G4" s="10" t="s">
        <v>187</v>
      </c>
    </row>
    <row r="5" spans="1:11" x14ac:dyDescent="0.3">
      <c r="A5" s="10">
        <v>4</v>
      </c>
      <c r="B5" s="11">
        <v>111</v>
      </c>
      <c r="C5" s="10" t="s">
        <v>136</v>
      </c>
      <c r="D5" s="19">
        <v>44315</v>
      </c>
      <c r="E5" s="10">
        <v>1370</v>
      </c>
      <c r="F5" s="10" t="s">
        <v>132</v>
      </c>
      <c r="G5" s="10" t="s">
        <v>187</v>
      </c>
    </row>
    <row r="6" spans="1:11" x14ac:dyDescent="0.3">
      <c r="A6" s="10">
        <v>5</v>
      </c>
      <c r="B6" s="11">
        <v>112</v>
      </c>
      <c r="C6" s="10" t="s">
        <v>134</v>
      </c>
      <c r="D6" s="19">
        <v>44315</v>
      </c>
      <c r="E6" s="10">
        <v>1035</v>
      </c>
      <c r="F6" s="10" t="s">
        <v>103</v>
      </c>
      <c r="G6" s="10" t="s">
        <v>187</v>
      </c>
    </row>
    <row r="7" spans="1:11" x14ac:dyDescent="0.3">
      <c r="A7" s="10">
        <v>6</v>
      </c>
      <c r="B7" s="11">
        <v>113</v>
      </c>
      <c r="C7" s="10" t="s">
        <v>135</v>
      </c>
      <c r="D7" s="19">
        <v>44315</v>
      </c>
      <c r="E7">
        <v>540</v>
      </c>
      <c r="F7" s="10" t="s">
        <v>71</v>
      </c>
      <c r="G7" s="10" t="s">
        <v>187</v>
      </c>
    </row>
    <row r="8" spans="1:11" x14ac:dyDescent="0.3">
      <c r="A8" s="10">
        <v>7</v>
      </c>
      <c r="B8" s="11">
        <v>114</v>
      </c>
      <c r="C8" s="10" t="s">
        <v>137</v>
      </c>
      <c r="D8" s="19">
        <v>44315</v>
      </c>
      <c r="E8" s="10">
        <v>1035</v>
      </c>
      <c r="F8" s="10" t="s">
        <v>71</v>
      </c>
      <c r="G8" s="10" t="s">
        <v>187</v>
      </c>
    </row>
    <row r="9" spans="1:11" x14ac:dyDescent="0.3">
      <c r="A9" s="10">
        <v>8</v>
      </c>
      <c r="B9" s="11">
        <v>115</v>
      </c>
      <c r="C9" s="10" t="s">
        <v>138</v>
      </c>
      <c r="D9" s="19">
        <v>44315</v>
      </c>
      <c r="E9" s="10">
        <v>3510</v>
      </c>
      <c r="F9" s="10" t="s">
        <v>71</v>
      </c>
      <c r="G9" s="10" t="s">
        <v>187</v>
      </c>
    </row>
    <row r="10" spans="1:11" x14ac:dyDescent="0.3">
      <c r="A10" s="10">
        <v>9</v>
      </c>
      <c r="B10" s="11">
        <v>116</v>
      </c>
      <c r="C10" s="10" t="s">
        <v>139</v>
      </c>
      <c r="D10" s="19">
        <v>44315</v>
      </c>
      <c r="E10" s="10">
        <v>900</v>
      </c>
      <c r="F10" s="10" t="s">
        <v>77</v>
      </c>
      <c r="G10" s="10" t="s">
        <v>187</v>
      </c>
    </row>
    <row r="11" spans="1:11" x14ac:dyDescent="0.3">
      <c r="A11" s="10">
        <v>10</v>
      </c>
      <c r="B11" s="11">
        <v>117</v>
      </c>
      <c r="C11" s="10" t="s">
        <v>140</v>
      </c>
      <c r="D11" s="19">
        <v>44315</v>
      </c>
      <c r="E11" s="10">
        <v>4741</v>
      </c>
      <c r="F11" s="10" t="s">
        <v>141</v>
      </c>
      <c r="G11" s="10" t="s">
        <v>187</v>
      </c>
    </row>
    <row r="12" spans="1:11" x14ac:dyDescent="0.3">
      <c r="A12" s="10">
        <v>11</v>
      </c>
      <c r="B12" s="11">
        <v>118</v>
      </c>
      <c r="C12" s="10" t="s">
        <v>142</v>
      </c>
      <c r="D12" s="19">
        <v>44315</v>
      </c>
      <c r="E12" s="10">
        <v>40</v>
      </c>
      <c r="F12" s="10" t="s">
        <v>71</v>
      </c>
      <c r="G12" s="10" t="s">
        <v>187</v>
      </c>
    </row>
    <row r="13" spans="1:11" x14ac:dyDescent="0.3">
      <c r="A13" s="10">
        <v>12</v>
      </c>
      <c r="B13" s="11">
        <v>119</v>
      </c>
      <c r="C13" s="10" t="s">
        <v>143</v>
      </c>
      <c r="D13" s="19">
        <v>44315</v>
      </c>
      <c r="E13" s="10">
        <v>1600</v>
      </c>
      <c r="F13" s="10" t="s">
        <v>81</v>
      </c>
      <c r="G13" s="10" t="s">
        <v>187</v>
      </c>
    </row>
    <row r="14" spans="1:11" x14ac:dyDescent="0.3">
      <c r="A14" s="10">
        <v>13</v>
      </c>
      <c r="B14" s="11">
        <v>120</v>
      </c>
      <c r="C14" s="10" t="s">
        <v>144</v>
      </c>
      <c r="D14" s="19">
        <v>44315</v>
      </c>
      <c r="E14" s="10">
        <v>3825</v>
      </c>
      <c r="F14" s="10" t="s">
        <v>71</v>
      </c>
      <c r="G14" s="10" t="s">
        <v>187</v>
      </c>
    </row>
    <row r="15" spans="1:11" x14ac:dyDescent="0.3">
      <c r="A15" s="10">
        <v>14</v>
      </c>
      <c r="B15" s="11">
        <v>121</v>
      </c>
      <c r="C15" s="10" t="s">
        <v>145</v>
      </c>
      <c r="D15" s="19">
        <v>44315</v>
      </c>
      <c r="E15" s="10">
        <v>1035</v>
      </c>
      <c r="F15" s="10" t="s">
        <v>99</v>
      </c>
      <c r="G15" s="10" t="s">
        <v>187</v>
      </c>
    </row>
    <row r="16" spans="1:11" x14ac:dyDescent="0.3">
      <c r="A16" s="10">
        <v>15</v>
      </c>
      <c r="B16" s="11">
        <v>122</v>
      </c>
      <c r="C16" s="10" t="s">
        <v>146</v>
      </c>
      <c r="D16" s="19">
        <v>44315</v>
      </c>
      <c r="E16" s="10">
        <v>945</v>
      </c>
      <c r="F16" s="10" t="s">
        <v>71</v>
      </c>
      <c r="G16" s="10" t="s">
        <v>187</v>
      </c>
    </row>
    <row r="17" spans="1:7" x14ac:dyDescent="0.3">
      <c r="A17" s="10">
        <v>16</v>
      </c>
      <c r="B17" s="11">
        <v>123</v>
      </c>
      <c r="C17" s="10" t="s">
        <v>147</v>
      </c>
      <c r="D17" s="19">
        <v>44315</v>
      </c>
      <c r="E17" s="10">
        <v>1620</v>
      </c>
      <c r="F17" s="10" t="s">
        <v>81</v>
      </c>
      <c r="G17" s="10" t="s">
        <v>187</v>
      </c>
    </row>
    <row r="18" spans="1:7" x14ac:dyDescent="0.3">
      <c r="A18" s="10">
        <v>17</v>
      </c>
      <c r="B18" s="11">
        <v>124</v>
      </c>
      <c r="C18" s="10" t="s">
        <v>148</v>
      </c>
      <c r="D18" s="19">
        <v>44315</v>
      </c>
      <c r="E18" s="10">
        <v>1955</v>
      </c>
      <c r="F18" s="10" t="s">
        <v>101</v>
      </c>
      <c r="G18" s="10" t="s">
        <v>187</v>
      </c>
    </row>
    <row r="19" spans="1:7" x14ac:dyDescent="0.3">
      <c r="A19" s="10">
        <v>18</v>
      </c>
      <c r="B19" s="11">
        <v>125</v>
      </c>
      <c r="C19" s="10" t="s">
        <v>149</v>
      </c>
      <c r="D19" s="19">
        <v>44315</v>
      </c>
      <c r="E19" s="10">
        <v>540</v>
      </c>
      <c r="F19" s="10" t="s">
        <v>66</v>
      </c>
      <c r="G19" s="10" t="s">
        <v>187</v>
      </c>
    </row>
    <row r="20" spans="1:7" x14ac:dyDescent="0.3">
      <c r="A20" s="10">
        <v>19</v>
      </c>
      <c r="B20" s="11">
        <v>126</v>
      </c>
      <c r="C20" s="10" t="s">
        <v>150</v>
      </c>
      <c r="D20" s="19">
        <v>44315</v>
      </c>
      <c r="E20" s="10">
        <v>3510</v>
      </c>
      <c r="F20" s="10" t="s">
        <v>71</v>
      </c>
      <c r="G20" s="10" t="s">
        <v>187</v>
      </c>
    </row>
    <row r="21" spans="1:7" x14ac:dyDescent="0.3">
      <c r="A21" s="10">
        <v>20</v>
      </c>
      <c r="B21" s="11">
        <v>127</v>
      </c>
      <c r="C21" s="10" t="s">
        <v>151</v>
      </c>
      <c r="D21" s="19">
        <v>44315</v>
      </c>
      <c r="E21" s="10">
        <v>672</v>
      </c>
      <c r="F21" s="10" t="s">
        <v>101</v>
      </c>
      <c r="G21" s="10" t="s">
        <v>187</v>
      </c>
    </row>
    <row r="22" spans="1:7" x14ac:dyDescent="0.3">
      <c r="A22" s="10">
        <v>21</v>
      </c>
      <c r="B22" s="11">
        <v>128</v>
      </c>
      <c r="C22" s="10" t="s">
        <v>152</v>
      </c>
      <c r="D22" s="19">
        <v>44315</v>
      </c>
      <c r="E22" s="10">
        <v>360</v>
      </c>
      <c r="F22" s="10" t="s">
        <v>153</v>
      </c>
      <c r="G22" s="10" t="s">
        <v>187</v>
      </c>
    </row>
    <row r="23" spans="1:7" x14ac:dyDescent="0.3">
      <c r="A23" s="10">
        <v>22</v>
      </c>
      <c r="B23" s="11">
        <v>129</v>
      </c>
      <c r="C23" s="10" t="s">
        <v>154</v>
      </c>
      <c r="D23" s="19">
        <v>44315</v>
      </c>
      <c r="E23" s="10">
        <v>310</v>
      </c>
      <c r="F23" s="10" t="s">
        <v>81</v>
      </c>
      <c r="G23" s="10" t="s">
        <v>187</v>
      </c>
    </row>
    <row r="24" spans="1:7" x14ac:dyDescent="0.3">
      <c r="A24" s="10">
        <v>23</v>
      </c>
      <c r="B24" s="11">
        <v>130</v>
      </c>
      <c r="C24" s="10" t="s">
        <v>155</v>
      </c>
      <c r="D24" s="19">
        <v>44315</v>
      </c>
      <c r="E24" s="10">
        <v>159</v>
      </c>
      <c r="F24" s="10" t="s">
        <v>83</v>
      </c>
      <c r="G24" s="10" t="s">
        <v>187</v>
      </c>
    </row>
    <row r="25" spans="1:7" x14ac:dyDescent="0.3">
      <c r="A25" s="10">
        <v>24</v>
      </c>
      <c r="B25" s="11">
        <v>131</v>
      </c>
      <c r="C25" s="10" t="s">
        <v>156</v>
      </c>
      <c r="D25" s="19">
        <v>44315</v>
      </c>
      <c r="E25" s="10">
        <v>4410</v>
      </c>
      <c r="F25" s="10" t="s">
        <v>81</v>
      </c>
      <c r="G25" s="10" t="s">
        <v>187</v>
      </c>
    </row>
    <row r="26" spans="1:7" x14ac:dyDescent="0.3">
      <c r="A26" s="10">
        <v>25</v>
      </c>
      <c r="B26" s="11">
        <v>132</v>
      </c>
      <c r="C26" s="10" t="s">
        <v>157</v>
      </c>
      <c r="D26" s="19">
        <v>44315</v>
      </c>
      <c r="E26" s="10">
        <v>2943</v>
      </c>
      <c r="F26" s="10" t="s">
        <v>158</v>
      </c>
      <c r="G26" s="10" t="s">
        <v>187</v>
      </c>
    </row>
    <row r="27" spans="1:7" x14ac:dyDescent="0.3">
      <c r="A27" s="10">
        <v>26</v>
      </c>
      <c r="B27" s="11">
        <v>133</v>
      </c>
      <c r="C27" s="10" t="s">
        <v>159</v>
      </c>
      <c r="D27" s="19">
        <v>44315</v>
      </c>
      <c r="E27" s="10">
        <v>815</v>
      </c>
      <c r="F27" s="10" t="s">
        <v>160</v>
      </c>
      <c r="G27" s="10" t="s">
        <v>187</v>
      </c>
    </row>
    <row r="28" spans="1:7" x14ac:dyDescent="0.3">
      <c r="A28" s="10">
        <v>27</v>
      </c>
      <c r="B28" s="11">
        <v>134</v>
      </c>
      <c r="C28" s="10" t="s">
        <v>162</v>
      </c>
      <c r="D28" s="19">
        <v>44315</v>
      </c>
      <c r="E28" s="10">
        <v>1485</v>
      </c>
      <c r="F28" s="10" t="s">
        <v>81</v>
      </c>
      <c r="G28" s="10" t="s">
        <v>187</v>
      </c>
    </row>
    <row r="29" spans="1:7" x14ac:dyDescent="0.3">
      <c r="A29" s="10">
        <v>28</v>
      </c>
      <c r="B29" s="11">
        <v>135</v>
      </c>
      <c r="C29" s="10" t="s">
        <v>164</v>
      </c>
      <c r="D29" s="19">
        <v>44315</v>
      </c>
      <c r="E29" s="10">
        <v>1440</v>
      </c>
      <c r="F29" s="10" t="s">
        <v>77</v>
      </c>
      <c r="G29" s="10" t="s">
        <v>187</v>
      </c>
    </row>
    <row r="30" spans="1:7" x14ac:dyDescent="0.3">
      <c r="A30" s="10">
        <v>29</v>
      </c>
      <c r="B30" s="11">
        <v>136</v>
      </c>
      <c r="C30" s="10" t="s">
        <v>165</v>
      </c>
      <c r="D30" s="19">
        <v>44316</v>
      </c>
      <c r="E30" s="10">
        <v>170</v>
      </c>
      <c r="F30" s="10" t="s">
        <v>88</v>
      </c>
      <c r="G30" s="10" t="s">
        <v>187</v>
      </c>
    </row>
    <row r="31" spans="1:7" x14ac:dyDescent="0.3">
      <c r="A31" s="10">
        <v>30</v>
      </c>
      <c r="B31" s="11">
        <v>137</v>
      </c>
      <c r="D31" s="19">
        <v>44316</v>
      </c>
      <c r="E31" s="10">
        <v>1750</v>
      </c>
      <c r="F31" s="10" t="s">
        <v>166</v>
      </c>
      <c r="G31" s="10" t="s">
        <v>187</v>
      </c>
    </row>
    <row r="32" spans="1:7" x14ac:dyDescent="0.3">
      <c r="A32" s="10">
        <v>31</v>
      </c>
      <c r="B32" s="11">
        <v>138</v>
      </c>
      <c r="C32" s="10" t="s">
        <v>167</v>
      </c>
      <c r="D32" s="19">
        <v>44316</v>
      </c>
      <c r="E32" s="10">
        <v>4756</v>
      </c>
      <c r="F32" s="10" t="s">
        <v>168</v>
      </c>
      <c r="G32" s="10" t="s">
        <v>187</v>
      </c>
    </row>
    <row r="33" spans="1:7" x14ac:dyDescent="0.3">
      <c r="A33" s="10">
        <v>32</v>
      </c>
      <c r="B33" s="11">
        <v>139</v>
      </c>
      <c r="C33" s="10" t="s">
        <v>169</v>
      </c>
      <c r="D33" s="19">
        <v>44316</v>
      </c>
      <c r="E33" s="10">
        <v>20</v>
      </c>
      <c r="F33" s="10" t="s">
        <v>170</v>
      </c>
      <c r="G33" s="10" t="s">
        <v>187</v>
      </c>
    </row>
    <row r="34" spans="1:7" x14ac:dyDescent="0.3">
      <c r="A34" s="10">
        <v>33</v>
      </c>
      <c r="B34" s="11">
        <v>141</v>
      </c>
      <c r="C34" s="10" t="s">
        <v>171</v>
      </c>
      <c r="D34" s="19">
        <v>44316</v>
      </c>
      <c r="E34" s="10">
        <v>24</v>
      </c>
      <c r="F34" s="10" t="s">
        <v>172</v>
      </c>
      <c r="G34" s="10" t="s">
        <v>187</v>
      </c>
    </row>
    <row r="35" spans="1:7" x14ac:dyDescent="0.3">
      <c r="A35" s="10">
        <v>34</v>
      </c>
      <c r="B35" s="11">
        <v>142</v>
      </c>
      <c r="C35" s="10" t="s">
        <v>124</v>
      </c>
      <c r="D35" s="19">
        <v>44317</v>
      </c>
      <c r="E35" s="10">
        <v>6300</v>
      </c>
      <c r="F35" s="10" t="s">
        <v>173</v>
      </c>
      <c r="G35" s="10" t="s">
        <v>187</v>
      </c>
    </row>
    <row r="36" spans="1:7" x14ac:dyDescent="0.3">
      <c r="A36" s="10">
        <v>35</v>
      </c>
      <c r="B36" s="11">
        <v>143</v>
      </c>
      <c r="C36" s="10" t="s">
        <v>174</v>
      </c>
      <c r="D36" s="19">
        <v>44317</v>
      </c>
      <c r="E36" s="10">
        <v>12</v>
      </c>
      <c r="F36" s="10" t="s">
        <v>99</v>
      </c>
      <c r="G36" s="10" t="s">
        <v>187</v>
      </c>
    </row>
    <row r="37" spans="1:7" x14ac:dyDescent="0.3">
      <c r="A37" s="10">
        <v>36</v>
      </c>
      <c r="B37" s="11">
        <v>144</v>
      </c>
      <c r="C37" s="10" t="s">
        <v>175</v>
      </c>
      <c r="D37" s="19">
        <v>44317</v>
      </c>
      <c r="E37" s="10">
        <v>45</v>
      </c>
      <c r="F37" s="10" t="s">
        <v>63</v>
      </c>
      <c r="G37" s="10" t="s">
        <v>187</v>
      </c>
    </row>
    <row r="38" spans="1:7" x14ac:dyDescent="0.3">
      <c r="A38" s="10">
        <v>37</v>
      </c>
      <c r="B38" s="11">
        <v>145</v>
      </c>
      <c r="C38" s="10" t="s">
        <v>176</v>
      </c>
      <c r="D38" s="19">
        <v>44317</v>
      </c>
      <c r="E38" s="10">
        <v>2400</v>
      </c>
      <c r="F38" s="10" t="s">
        <v>100</v>
      </c>
      <c r="G38" s="10" t="s">
        <v>187</v>
      </c>
    </row>
    <row r="39" spans="1:7" x14ac:dyDescent="0.3">
      <c r="A39" s="10">
        <v>38</v>
      </c>
      <c r="B39" s="11">
        <v>146</v>
      </c>
      <c r="C39" s="10" t="s">
        <v>177</v>
      </c>
      <c r="D39" s="19">
        <v>44317</v>
      </c>
      <c r="E39" s="10">
        <v>180</v>
      </c>
      <c r="F39" s="10" t="s">
        <v>60</v>
      </c>
      <c r="G39" s="10" t="s">
        <v>187</v>
      </c>
    </row>
    <row r="40" spans="1:7" x14ac:dyDescent="0.3">
      <c r="A40" s="10">
        <v>39</v>
      </c>
      <c r="B40" s="11">
        <v>147</v>
      </c>
      <c r="C40" s="10" t="s">
        <v>178</v>
      </c>
      <c r="D40" s="19">
        <v>44317</v>
      </c>
      <c r="E40" s="10">
        <v>90</v>
      </c>
      <c r="F40" s="10" t="s">
        <v>64</v>
      </c>
      <c r="G40" s="10" t="s">
        <v>187</v>
      </c>
    </row>
    <row r="41" spans="1:7" x14ac:dyDescent="0.3">
      <c r="A41" s="10">
        <v>40</v>
      </c>
      <c r="B41" s="11">
        <v>149</v>
      </c>
      <c r="C41" s="10" t="s">
        <v>169</v>
      </c>
      <c r="D41" s="19">
        <v>44317</v>
      </c>
      <c r="E41" s="10">
        <v>45</v>
      </c>
      <c r="F41" s="10" t="s">
        <v>79</v>
      </c>
      <c r="G41" s="10" t="s">
        <v>187</v>
      </c>
    </row>
    <row r="42" spans="1:7" x14ac:dyDescent="0.3">
      <c r="A42" s="10">
        <v>41</v>
      </c>
      <c r="B42" s="11">
        <v>150</v>
      </c>
      <c r="C42" s="10" t="s">
        <v>179</v>
      </c>
      <c r="D42" s="19">
        <v>44317</v>
      </c>
      <c r="E42" s="10">
        <v>225</v>
      </c>
      <c r="F42" s="10" t="s">
        <v>71</v>
      </c>
      <c r="G42" s="10" t="s">
        <v>187</v>
      </c>
    </row>
    <row r="43" spans="1:7" x14ac:dyDescent="0.3">
      <c r="A43" s="10">
        <v>42</v>
      </c>
      <c r="B43" s="11">
        <v>151</v>
      </c>
      <c r="C43" s="10" t="s">
        <v>180</v>
      </c>
      <c r="D43" s="19">
        <v>44317</v>
      </c>
      <c r="E43" s="10">
        <v>450</v>
      </c>
      <c r="F43" s="10" t="s">
        <v>83</v>
      </c>
      <c r="G43" s="10" t="s">
        <v>187</v>
      </c>
    </row>
    <row r="44" spans="1:7" x14ac:dyDescent="0.3">
      <c r="A44" s="10">
        <v>43</v>
      </c>
      <c r="B44" s="11">
        <v>152</v>
      </c>
      <c r="C44" s="10" t="s">
        <v>162</v>
      </c>
      <c r="D44" s="19">
        <v>44317</v>
      </c>
      <c r="E44" s="10">
        <v>225</v>
      </c>
      <c r="F44" s="10" t="s">
        <v>103</v>
      </c>
      <c r="G44" s="10" t="s">
        <v>187</v>
      </c>
    </row>
    <row r="45" spans="1:7" x14ac:dyDescent="0.3">
      <c r="A45" s="10">
        <v>44</v>
      </c>
      <c r="B45" s="11">
        <v>153</v>
      </c>
      <c r="C45" s="10" t="s">
        <v>171</v>
      </c>
      <c r="D45" s="19">
        <v>44317</v>
      </c>
      <c r="E45" s="10">
        <v>348</v>
      </c>
      <c r="F45" s="10" t="s">
        <v>181</v>
      </c>
      <c r="G45" s="10" t="s">
        <v>187</v>
      </c>
    </row>
    <row r="46" spans="1:7" x14ac:dyDescent="0.3">
      <c r="A46" s="10">
        <v>45</v>
      </c>
      <c r="B46" s="11">
        <v>154</v>
      </c>
      <c r="C46" s="10" t="s">
        <v>167</v>
      </c>
      <c r="D46" s="19">
        <v>44317</v>
      </c>
      <c r="E46" s="10">
        <v>180</v>
      </c>
      <c r="F46" s="10" t="s">
        <v>98</v>
      </c>
      <c r="G46" s="10" t="s">
        <v>187</v>
      </c>
    </row>
    <row r="47" spans="1:7" x14ac:dyDescent="0.3">
      <c r="A47" s="10">
        <v>46</v>
      </c>
      <c r="B47" s="11">
        <v>155</v>
      </c>
      <c r="C47" s="10" t="s">
        <v>169</v>
      </c>
      <c r="D47" s="19">
        <v>44318</v>
      </c>
      <c r="E47" s="10">
        <v>45</v>
      </c>
      <c r="F47" s="10" t="s">
        <v>71</v>
      </c>
      <c r="G47" s="10" t="s">
        <v>187</v>
      </c>
    </row>
    <row r="48" spans="1:7" x14ac:dyDescent="0.3">
      <c r="A48" s="10">
        <v>47</v>
      </c>
      <c r="B48" s="11">
        <v>156</v>
      </c>
      <c r="C48" s="10" t="s">
        <v>183</v>
      </c>
      <c r="D48" s="19">
        <v>44318</v>
      </c>
      <c r="E48" s="10">
        <v>1625</v>
      </c>
      <c r="F48" s="10" t="s">
        <v>184</v>
      </c>
      <c r="G48" s="10" t="s">
        <v>187</v>
      </c>
    </row>
    <row r="49" spans="1:7" x14ac:dyDescent="0.3">
      <c r="A49" s="10">
        <v>48</v>
      </c>
      <c r="B49" s="11">
        <v>157</v>
      </c>
      <c r="C49" s="10" t="s">
        <v>185</v>
      </c>
      <c r="D49" s="19">
        <v>44318</v>
      </c>
      <c r="E49" s="10">
        <v>180</v>
      </c>
      <c r="F49" s="10" t="s">
        <v>97</v>
      </c>
      <c r="G49" s="10" t="s">
        <v>187</v>
      </c>
    </row>
    <row r="50" spans="1:7" x14ac:dyDescent="0.3">
      <c r="A50" s="10">
        <v>49</v>
      </c>
      <c r="B50" s="11">
        <v>158</v>
      </c>
      <c r="C50" s="10" t="s">
        <v>188</v>
      </c>
      <c r="D50" s="19">
        <v>44318</v>
      </c>
      <c r="E50" s="10">
        <v>180</v>
      </c>
      <c r="F50" s="10" t="s">
        <v>96</v>
      </c>
      <c r="G50" s="10" t="s">
        <v>189</v>
      </c>
    </row>
    <row r="51" spans="1:7" x14ac:dyDescent="0.3">
      <c r="A51" s="10">
        <v>50</v>
      </c>
      <c r="B51" s="11">
        <v>159</v>
      </c>
      <c r="C51" s="10" t="s">
        <v>124</v>
      </c>
      <c r="D51" s="19">
        <v>44318</v>
      </c>
      <c r="E51" s="10">
        <v>564</v>
      </c>
      <c r="F51" s="10" t="s">
        <v>71</v>
      </c>
      <c r="G51" s="10" t="s">
        <v>192</v>
      </c>
    </row>
    <row r="52" spans="1:7" x14ac:dyDescent="0.3">
      <c r="A52" s="10">
        <v>51</v>
      </c>
      <c r="B52" s="11">
        <v>160</v>
      </c>
      <c r="C52" s="10" t="s">
        <v>193</v>
      </c>
      <c r="D52" s="19">
        <v>44318</v>
      </c>
      <c r="E52" s="10">
        <v>540</v>
      </c>
      <c r="F52" s="10" t="s">
        <v>72</v>
      </c>
      <c r="G52" s="10" t="s">
        <v>186</v>
      </c>
    </row>
    <row r="53" spans="1:7" x14ac:dyDescent="0.3">
      <c r="A53" s="10">
        <v>52</v>
      </c>
      <c r="B53" s="11">
        <v>161</v>
      </c>
      <c r="C53" s="10" t="s">
        <v>197</v>
      </c>
      <c r="D53" s="19">
        <v>44318</v>
      </c>
      <c r="E53" s="10">
        <v>861</v>
      </c>
      <c r="F53" s="10" t="s">
        <v>81</v>
      </c>
      <c r="G53" s="10" t="s">
        <v>192</v>
      </c>
    </row>
    <row r="54" spans="1:7" x14ac:dyDescent="0.3">
      <c r="A54" s="10">
        <v>53</v>
      </c>
      <c r="B54" s="11">
        <v>162</v>
      </c>
      <c r="C54" s="10" t="s">
        <v>171</v>
      </c>
      <c r="D54" s="19">
        <v>44318</v>
      </c>
      <c r="E54" s="10">
        <v>180</v>
      </c>
      <c r="F54" s="10" t="s">
        <v>60</v>
      </c>
      <c r="G54" s="10" t="s">
        <v>192</v>
      </c>
    </row>
    <row r="55" spans="1:7" x14ac:dyDescent="0.3">
      <c r="A55" s="10">
        <v>54</v>
      </c>
      <c r="B55" s="11">
        <v>163</v>
      </c>
      <c r="C55" s="10" t="s">
        <v>171</v>
      </c>
      <c r="D55" s="19">
        <v>44318</v>
      </c>
      <c r="E55" s="10">
        <v>200</v>
      </c>
      <c r="F55" s="10" t="s">
        <v>60</v>
      </c>
      <c r="G55" s="10" t="s">
        <v>198</v>
      </c>
    </row>
    <row r="56" spans="1:7" x14ac:dyDescent="0.3">
      <c r="A56" s="10">
        <v>55</v>
      </c>
      <c r="B56" s="11">
        <v>164</v>
      </c>
      <c r="C56" s="10" t="s">
        <v>199</v>
      </c>
      <c r="D56" s="19">
        <v>44318</v>
      </c>
      <c r="E56" s="10">
        <v>156</v>
      </c>
      <c r="F56" s="10" t="s">
        <v>60</v>
      </c>
      <c r="G56" s="10" t="s">
        <v>200</v>
      </c>
    </row>
    <row r="57" spans="1:7" x14ac:dyDescent="0.3">
      <c r="A57" s="10">
        <v>56</v>
      </c>
      <c r="B57" s="11">
        <v>165</v>
      </c>
      <c r="C57" s="10" t="s">
        <v>201</v>
      </c>
      <c r="D57" s="19">
        <v>44318</v>
      </c>
      <c r="E57" s="10">
        <v>1280</v>
      </c>
      <c r="F57" s="10" t="s">
        <v>61</v>
      </c>
      <c r="G57" s="10" t="s">
        <v>202</v>
      </c>
    </row>
    <row r="58" spans="1:7" x14ac:dyDescent="0.3">
      <c r="A58" s="10">
        <v>57</v>
      </c>
      <c r="B58" s="11">
        <v>166</v>
      </c>
      <c r="C58" s="10" t="s">
        <v>203</v>
      </c>
      <c r="D58" s="19">
        <v>44318</v>
      </c>
      <c r="E58" s="10">
        <v>30</v>
      </c>
      <c r="F58" s="10" t="s">
        <v>63</v>
      </c>
      <c r="G58" s="10" t="s">
        <v>204</v>
      </c>
    </row>
    <row r="59" spans="1:7" x14ac:dyDescent="0.3">
      <c r="A59" s="10">
        <v>58</v>
      </c>
      <c r="B59" s="11">
        <v>167</v>
      </c>
      <c r="C59" s="10" t="s">
        <v>205</v>
      </c>
      <c r="D59" s="19">
        <v>44318</v>
      </c>
      <c r="E59" s="10">
        <v>90</v>
      </c>
      <c r="F59" s="10" t="s">
        <v>63</v>
      </c>
      <c r="G59" s="10" t="s">
        <v>206</v>
      </c>
    </row>
    <row r="60" spans="1:7" x14ac:dyDescent="0.3">
      <c r="A60" s="10">
        <v>59</v>
      </c>
      <c r="B60" s="11">
        <v>168</v>
      </c>
      <c r="C60" s="10" t="s">
        <v>207</v>
      </c>
      <c r="D60" s="19">
        <v>44318</v>
      </c>
      <c r="E60" s="10">
        <v>230</v>
      </c>
      <c r="F60" s="10" t="s">
        <v>209</v>
      </c>
      <c r="G60" s="10" t="s">
        <v>208</v>
      </c>
    </row>
    <row r="61" spans="1:7" x14ac:dyDescent="0.3">
      <c r="A61" s="10">
        <v>60</v>
      </c>
      <c r="B61" s="11">
        <v>170</v>
      </c>
      <c r="C61" s="10" t="s">
        <v>162</v>
      </c>
      <c r="D61" s="19">
        <v>44318</v>
      </c>
      <c r="E61" s="10">
        <v>120</v>
      </c>
      <c r="F61" s="10" t="s">
        <v>68</v>
      </c>
      <c r="G61" s="10" t="s">
        <v>210</v>
      </c>
    </row>
    <row r="62" spans="1:7" x14ac:dyDescent="0.3">
      <c r="A62" s="10">
        <v>61</v>
      </c>
      <c r="B62" s="11">
        <v>171</v>
      </c>
      <c r="C62" s="10" t="s">
        <v>211</v>
      </c>
      <c r="D62" s="19">
        <v>44318</v>
      </c>
      <c r="E62" s="10">
        <v>8</v>
      </c>
      <c r="F62" s="10" t="s">
        <v>66</v>
      </c>
      <c r="G62" s="10" t="s">
        <v>212</v>
      </c>
    </row>
    <row r="63" spans="1:7" x14ac:dyDescent="0.3">
      <c r="A63" s="10">
        <v>62</v>
      </c>
      <c r="B63" s="11">
        <v>172</v>
      </c>
      <c r="C63" s="10" t="s">
        <v>213</v>
      </c>
      <c r="D63" s="19">
        <v>44318</v>
      </c>
      <c r="E63" s="10">
        <v>440</v>
      </c>
      <c r="F63" s="10" t="s">
        <v>215</v>
      </c>
      <c r="G63" s="10" t="s">
        <v>214</v>
      </c>
    </row>
    <row r="64" spans="1:7" x14ac:dyDescent="0.3">
      <c r="A64" s="10">
        <v>63</v>
      </c>
      <c r="B64" s="11">
        <v>173</v>
      </c>
      <c r="C64" s="10" t="s">
        <v>216</v>
      </c>
      <c r="D64" s="19">
        <v>44318</v>
      </c>
      <c r="E64" s="10">
        <v>282</v>
      </c>
      <c r="F64" s="10" t="s">
        <v>218</v>
      </c>
      <c r="G64" s="10" t="s">
        <v>217</v>
      </c>
    </row>
    <row r="65" spans="1:7" x14ac:dyDescent="0.3">
      <c r="A65" s="10">
        <v>64</v>
      </c>
      <c r="B65" s="11">
        <v>174</v>
      </c>
      <c r="C65" s="10" t="s">
        <v>219</v>
      </c>
      <c r="D65" s="19">
        <v>44318</v>
      </c>
      <c r="E65" s="10">
        <v>340</v>
      </c>
      <c r="F65" s="10" t="s">
        <v>221</v>
      </c>
      <c r="G65" s="10" t="s">
        <v>220</v>
      </c>
    </row>
    <row r="66" spans="1:7" x14ac:dyDescent="0.3">
      <c r="A66" s="10">
        <v>65</v>
      </c>
      <c r="B66" s="11">
        <v>175</v>
      </c>
      <c r="C66" s="10" t="s">
        <v>222</v>
      </c>
      <c r="D66" s="19">
        <v>44318</v>
      </c>
      <c r="E66" s="10">
        <v>180</v>
      </c>
      <c r="F66" s="10" t="s">
        <v>64</v>
      </c>
      <c r="G66" s="10" t="s">
        <v>223</v>
      </c>
    </row>
    <row r="67" spans="1:7" x14ac:dyDescent="0.3">
      <c r="A67" s="10">
        <v>66</v>
      </c>
      <c r="B67" s="11">
        <v>176</v>
      </c>
      <c r="C67" s="10" t="s">
        <v>225</v>
      </c>
      <c r="D67" s="19">
        <v>44318</v>
      </c>
      <c r="E67" s="10">
        <v>225</v>
      </c>
      <c r="F67" s="10" t="s">
        <v>63</v>
      </c>
      <c r="G67" s="10" t="s">
        <v>226</v>
      </c>
    </row>
    <row r="68" spans="1:7" x14ac:dyDescent="0.3">
      <c r="A68" s="10">
        <v>67</v>
      </c>
      <c r="B68" s="11">
        <v>177</v>
      </c>
      <c r="C68" s="10" t="s">
        <v>227</v>
      </c>
      <c r="D68" s="19">
        <v>44318</v>
      </c>
      <c r="E68" s="10">
        <v>500</v>
      </c>
      <c r="F68" s="10" t="s">
        <v>62</v>
      </c>
      <c r="G68" s="10" t="s">
        <v>228</v>
      </c>
    </row>
    <row r="69" spans="1:7" x14ac:dyDescent="0.3">
      <c r="A69" s="10">
        <v>68</v>
      </c>
      <c r="B69" s="11">
        <v>178</v>
      </c>
      <c r="C69" s="10" t="s">
        <v>229</v>
      </c>
      <c r="D69" s="19">
        <v>44318</v>
      </c>
      <c r="E69" s="10">
        <v>800</v>
      </c>
      <c r="F69" s="10" t="s">
        <v>66</v>
      </c>
      <c r="G69" s="10" t="s">
        <v>230</v>
      </c>
    </row>
    <row r="70" spans="1:7" x14ac:dyDescent="0.3">
      <c r="A70" s="10">
        <v>69</v>
      </c>
      <c r="B70" s="11">
        <v>180</v>
      </c>
      <c r="C70" s="10" t="s">
        <v>171</v>
      </c>
      <c r="D70" s="19">
        <v>44318</v>
      </c>
      <c r="E70" s="10">
        <v>20</v>
      </c>
      <c r="F70" s="10" t="s">
        <v>63</v>
      </c>
      <c r="G70" s="10" t="s">
        <v>192</v>
      </c>
    </row>
    <row r="71" spans="1:7" x14ac:dyDescent="0.3">
      <c r="A71" s="10">
        <v>70</v>
      </c>
      <c r="B71" s="11">
        <v>181</v>
      </c>
      <c r="C71" s="10" t="s">
        <v>171</v>
      </c>
      <c r="D71" s="19">
        <v>44318</v>
      </c>
      <c r="E71" s="10">
        <v>180</v>
      </c>
      <c r="F71" s="10" t="s">
        <v>67</v>
      </c>
      <c r="G71" s="10" t="s">
        <v>192</v>
      </c>
    </row>
    <row r="72" spans="1:7" x14ac:dyDescent="0.3">
      <c r="A72" s="10">
        <v>71</v>
      </c>
      <c r="B72" s="11">
        <v>182</v>
      </c>
      <c r="C72" s="10" t="s">
        <v>231</v>
      </c>
      <c r="D72" s="19">
        <v>44318</v>
      </c>
      <c r="E72" s="10">
        <v>806</v>
      </c>
      <c r="F72" s="10" t="s">
        <v>232</v>
      </c>
      <c r="G72" s="10" t="s">
        <v>192</v>
      </c>
    </row>
  </sheetData>
  <sheetProtection algorithmName="SHA-512" hashValue="24Mk7d1HkwxCwa+oQsQgE/rWr+riiR1hYG7aeERRPguxJvekwOHXSKKX82Ht7xDFH++NtcldoTGMUQP95frr6Q==" saltValue="XBzhc1zeB6lWygErrK3J3g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C29" sqref="C29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customWidth="1"/>
  </cols>
  <sheetData>
    <row r="1" spans="1:12" ht="15.6" x14ac:dyDescent="0.3">
      <c r="A1" s="2" t="s">
        <v>13</v>
      </c>
      <c r="B1" s="2" t="s">
        <v>14</v>
      </c>
      <c r="C1" s="2" t="s">
        <v>163</v>
      </c>
    </row>
    <row r="2" spans="1:12" x14ac:dyDescent="0.3">
      <c r="A2" s="7" t="s">
        <v>15</v>
      </c>
      <c r="B2" s="1" t="s">
        <v>60</v>
      </c>
      <c r="C2" s="1">
        <v>1</v>
      </c>
    </row>
    <row r="3" spans="1:12" x14ac:dyDescent="0.3">
      <c r="A3" s="7" t="s">
        <v>16</v>
      </c>
      <c r="B3" s="1" t="s">
        <v>61</v>
      </c>
      <c r="C3" s="1">
        <v>0</v>
      </c>
    </row>
    <row r="4" spans="1:12" x14ac:dyDescent="0.3">
      <c r="A4" s="7" t="s">
        <v>17</v>
      </c>
      <c r="B4" s="1" t="s">
        <v>62</v>
      </c>
      <c r="C4" s="1">
        <v>42</v>
      </c>
    </row>
    <row r="5" spans="1:12" x14ac:dyDescent="0.3">
      <c r="A5" s="7" t="s">
        <v>18</v>
      </c>
      <c r="B5" s="1" t="s">
        <v>63</v>
      </c>
      <c r="C5" s="1">
        <v>6</v>
      </c>
    </row>
    <row r="6" spans="1:12" x14ac:dyDescent="0.3">
      <c r="A6" s="7" t="s">
        <v>19</v>
      </c>
      <c r="B6" s="1" t="s">
        <v>64</v>
      </c>
      <c r="C6" s="1">
        <v>16</v>
      </c>
    </row>
    <row r="7" spans="1:12" x14ac:dyDescent="0.3">
      <c r="A7" s="7" t="s">
        <v>20</v>
      </c>
      <c r="B7" s="1" t="s">
        <v>65</v>
      </c>
      <c r="C7" s="1">
        <v>15</v>
      </c>
      <c r="H7" s="69">
        <f>SUM(C:C)</f>
        <v>847</v>
      </c>
      <c r="I7" s="69"/>
      <c r="J7" s="69"/>
      <c r="K7" s="69"/>
      <c r="L7" s="69"/>
    </row>
    <row r="8" spans="1:12" x14ac:dyDescent="0.3">
      <c r="A8" s="7" t="s">
        <v>21</v>
      </c>
      <c r="B8" s="1" t="s">
        <v>66</v>
      </c>
      <c r="C8" s="1">
        <v>14</v>
      </c>
      <c r="H8" s="69"/>
      <c r="I8" s="69"/>
      <c r="J8" s="69"/>
      <c r="K8" s="69"/>
      <c r="L8" s="69"/>
    </row>
    <row r="9" spans="1:12" x14ac:dyDescent="0.3">
      <c r="A9" s="7" t="s">
        <v>22</v>
      </c>
      <c r="B9" s="1" t="s">
        <v>67</v>
      </c>
      <c r="C9" s="1">
        <v>14</v>
      </c>
      <c r="H9" s="69"/>
      <c r="I9" s="69"/>
      <c r="J9" s="69"/>
      <c r="K9" s="69"/>
      <c r="L9" s="69"/>
    </row>
    <row r="10" spans="1:12" x14ac:dyDescent="0.3">
      <c r="A10" s="7" t="s">
        <v>23</v>
      </c>
      <c r="B10" s="1" t="s">
        <v>69</v>
      </c>
      <c r="C10" s="1">
        <v>25</v>
      </c>
    </row>
    <row r="11" spans="1:12" x14ac:dyDescent="0.3">
      <c r="A11" s="7" t="s">
        <v>24</v>
      </c>
      <c r="B11" s="1" t="s">
        <v>70</v>
      </c>
      <c r="C11" s="1">
        <v>25</v>
      </c>
      <c r="H11" s="68" t="s">
        <v>161</v>
      </c>
      <c r="I11" s="68"/>
      <c r="J11" s="68"/>
      <c r="K11" s="68"/>
      <c r="L11" s="68"/>
    </row>
    <row r="12" spans="1:12" x14ac:dyDescent="0.3">
      <c r="A12" s="7" t="s">
        <v>25</v>
      </c>
      <c r="B12" s="1" t="s">
        <v>68</v>
      </c>
      <c r="C12" s="1">
        <v>20</v>
      </c>
      <c r="H12" s="68"/>
      <c r="I12" s="68"/>
      <c r="J12" s="68"/>
      <c r="K12" s="68"/>
      <c r="L12" s="68"/>
    </row>
    <row r="13" spans="1:12" x14ac:dyDescent="0.3">
      <c r="A13" s="7" t="s">
        <v>26</v>
      </c>
      <c r="B13" s="1" t="s">
        <v>71</v>
      </c>
      <c r="C13" s="1">
        <v>12</v>
      </c>
      <c r="H13" s="68"/>
      <c r="I13" s="68"/>
      <c r="J13" s="68"/>
      <c r="K13" s="68"/>
      <c r="L13" s="68"/>
    </row>
    <row r="14" spans="1:12" x14ac:dyDescent="0.3">
      <c r="A14" s="7" t="s">
        <v>27</v>
      </c>
      <c r="B14" s="1" t="s">
        <v>72</v>
      </c>
      <c r="C14" s="1">
        <v>13</v>
      </c>
    </row>
    <row r="15" spans="1:12" x14ac:dyDescent="0.3">
      <c r="A15" s="7" t="s">
        <v>28</v>
      </c>
      <c r="B15" s="1" t="s">
        <v>73</v>
      </c>
      <c r="C15" s="1">
        <v>25</v>
      </c>
    </row>
    <row r="16" spans="1:12" x14ac:dyDescent="0.3">
      <c r="A16" s="7" t="s">
        <v>29</v>
      </c>
      <c r="B16" s="1" t="s">
        <v>74</v>
      </c>
      <c r="C16" s="1">
        <v>25</v>
      </c>
    </row>
    <row r="17" spans="1:3" x14ac:dyDescent="0.3">
      <c r="A17" s="7" t="s">
        <v>30</v>
      </c>
      <c r="B17" s="1" t="s">
        <v>84</v>
      </c>
      <c r="C17" s="1">
        <v>25</v>
      </c>
    </row>
    <row r="18" spans="1:3" x14ac:dyDescent="0.3">
      <c r="A18" s="7" t="s">
        <v>31</v>
      </c>
      <c r="B18" s="1" t="s">
        <v>75</v>
      </c>
      <c r="C18" s="1">
        <v>25</v>
      </c>
    </row>
    <row r="19" spans="1:3" x14ac:dyDescent="0.3">
      <c r="A19" s="7" t="s">
        <v>32</v>
      </c>
      <c r="B19" s="1" t="s">
        <v>76</v>
      </c>
      <c r="C19" s="1">
        <v>25</v>
      </c>
    </row>
    <row r="20" spans="1:3" x14ac:dyDescent="0.3">
      <c r="A20" s="7" t="s">
        <v>33</v>
      </c>
      <c r="B20" s="1" t="s">
        <v>77</v>
      </c>
      <c r="C20" s="1">
        <v>25</v>
      </c>
    </row>
    <row r="21" spans="1:3" x14ac:dyDescent="0.3">
      <c r="A21" s="7" t="s">
        <v>34</v>
      </c>
      <c r="B21" s="1" t="s">
        <v>78</v>
      </c>
      <c r="C21" s="1">
        <v>20</v>
      </c>
    </row>
    <row r="22" spans="1:3" x14ac:dyDescent="0.3">
      <c r="A22" s="7" t="s">
        <v>35</v>
      </c>
      <c r="B22" s="1" t="s">
        <v>79</v>
      </c>
      <c r="C22" s="1">
        <v>0</v>
      </c>
    </row>
    <row r="23" spans="1:3" x14ac:dyDescent="0.3">
      <c r="A23" s="7" t="s">
        <v>36</v>
      </c>
      <c r="B23" s="1" t="s">
        <v>80</v>
      </c>
      <c r="C23" s="1">
        <v>20</v>
      </c>
    </row>
    <row r="24" spans="1:3" x14ac:dyDescent="0.3">
      <c r="A24" s="7" t="s">
        <v>37</v>
      </c>
      <c r="B24" s="1" t="s">
        <v>81</v>
      </c>
      <c r="C24" s="1">
        <v>4</v>
      </c>
    </row>
    <row r="25" spans="1:3" x14ac:dyDescent="0.3">
      <c r="A25" s="7" t="s">
        <v>38</v>
      </c>
      <c r="B25" s="1" t="s">
        <v>82</v>
      </c>
      <c r="C25" s="1">
        <v>25</v>
      </c>
    </row>
    <row r="26" spans="1:3" x14ac:dyDescent="0.3">
      <c r="A26" s="7" t="s">
        <v>39</v>
      </c>
      <c r="B26" s="1" t="s">
        <v>83</v>
      </c>
      <c r="C26" s="1">
        <v>15</v>
      </c>
    </row>
    <row r="27" spans="1:3" x14ac:dyDescent="0.3">
      <c r="A27" s="7" t="s">
        <v>40</v>
      </c>
      <c r="B27" s="1" t="s">
        <v>104</v>
      </c>
      <c r="C27" s="1">
        <v>25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25</v>
      </c>
    </row>
    <row r="30" spans="1:3" x14ac:dyDescent="0.3">
      <c r="A30" s="7" t="s">
        <v>43</v>
      </c>
      <c r="B30" s="1" t="s">
        <v>87</v>
      </c>
      <c r="C30" s="1">
        <v>25</v>
      </c>
    </row>
    <row r="31" spans="1:3" x14ac:dyDescent="0.3">
      <c r="A31" s="7" t="s">
        <v>44</v>
      </c>
      <c r="B31" s="1" t="s">
        <v>88</v>
      </c>
      <c r="C31" s="1">
        <v>25</v>
      </c>
    </row>
    <row r="32" spans="1:3" x14ac:dyDescent="0.3">
      <c r="A32" s="7" t="s">
        <v>45</v>
      </c>
      <c r="B32" s="1" t="s">
        <v>89</v>
      </c>
      <c r="C32" s="1">
        <v>25</v>
      </c>
    </row>
    <row r="33" spans="1:3" x14ac:dyDescent="0.3">
      <c r="A33" s="7" t="s">
        <v>46</v>
      </c>
      <c r="B33" s="1" t="s">
        <v>90</v>
      </c>
      <c r="C33" s="1">
        <v>18</v>
      </c>
    </row>
    <row r="34" spans="1:3" x14ac:dyDescent="0.3">
      <c r="A34" s="7" t="s">
        <v>47</v>
      </c>
      <c r="B34" s="1" t="s">
        <v>91</v>
      </c>
      <c r="C34" s="1">
        <v>21</v>
      </c>
    </row>
    <row r="35" spans="1:3" x14ac:dyDescent="0.3">
      <c r="A35" s="7" t="s">
        <v>48</v>
      </c>
      <c r="B35" s="1" t="s">
        <v>92</v>
      </c>
      <c r="C35" s="1">
        <v>25</v>
      </c>
    </row>
    <row r="36" spans="1:3" x14ac:dyDescent="0.3">
      <c r="A36" s="7" t="s">
        <v>49</v>
      </c>
      <c r="B36" s="1" t="s">
        <v>93</v>
      </c>
      <c r="C36" s="1">
        <v>21</v>
      </c>
    </row>
    <row r="37" spans="1:3" x14ac:dyDescent="0.3">
      <c r="A37" s="7" t="s">
        <v>50</v>
      </c>
      <c r="B37" s="1" t="s">
        <v>94</v>
      </c>
      <c r="C37" s="1">
        <v>23</v>
      </c>
    </row>
    <row r="38" spans="1:3" x14ac:dyDescent="0.3">
      <c r="A38" s="7" t="s">
        <v>51</v>
      </c>
      <c r="B38" s="1" t="s">
        <v>95</v>
      </c>
      <c r="C38" s="1">
        <v>23</v>
      </c>
    </row>
    <row r="39" spans="1:3" x14ac:dyDescent="0.3">
      <c r="A39" s="7" t="s">
        <v>52</v>
      </c>
      <c r="B39" s="1" t="s">
        <v>96</v>
      </c>
      <c r="C39" s="1">
        <v>21</v>
      </c>
    </row>
    <row r="40" spans="1:3" x14ac:dyDescent="0.3">
      <c r="A40" s="7" t="s">
        <v>53</v>
      </c>
      <c r="B40" s="1" t="s">
        <v>97</v>
      </c>
      <c r="C40" s="1">
        <v>21</v>
      </c>
    </row>
    <row r="41" spans="1:3" x14ac:dyDescent="0.3">
      <c r="A41" s="7" t="s">
        <v>54</v>
      </c>
      <c r="B41" s="1" t="s">
        <v>98</v>
      </c>
      <c r="C41" s="1">
        <v>18</v>
      </c>
    </row>
    <row r="42" spans="1:3" x14ac:dyDescent="0.3">
      <c r="A42" s="7" t="s">
        <v>55</v>
      </c>
      <c r="B42" s="1" t="s">
        <v>99</v>
      </c>
      <c r="C42" s="1">
        <v>0</v>
      </c>
    </row>
    <row r="43" spans="1:3" x14ac:dyDescent="0.3">
      <c r="A43" s="7" t="s">
        <v>56</v>
      </c>
      <c r="B43" s="1" t="s">
        <v>100</v>
      </c>
      <c r="C43" s="1">
        <v>21</v>
      </c>
    </row>
    <row r="44" spans="1:3" x14ac:dyDescent="0.3">
      <c r="A44" s="7" t="s">
        <v>57</v>
      </c>
      <c r="B44" s="1" t="s">
        <v>101</v>
      </c>
      <c r="C44" s="1">
        <v>21</v>
      </c>
    </row>
    <row r="45" spans="1:3" x14ac:dyDescent="0.3">
      <c r="A45" s="7" t="s">
        <v>58</v>
      </c>
      <c r="B45" s="1" t="s">
        <v>102</v>
      </c>
      <c r="C45" s="1">
        <v>25</v>
      </c>
    </row>
    <row r="46" spans="1:3" x14ac:dyDescent="0.3">
      <c r="A46" s="7" t="s">
        <v>59</v>
      </c>
      <c r="B46" s="1" t="s">
        <v>103</v>
      </c>
      <c r="C46" s="1">
        <v>22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qD0pKhfOFbH77OQJOMLcQvcReJoe1zOYh4eD8Fhw+hEdEtq7ZGZexjAzsUJ/qv749PPJLP3jFSPXukNl3di2hA==" saltValue="c8nRBaGMaM6QwqRe6W2UqQ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conditionalFormatting sqref="C1:C46">
    <cfRule type="cellIs" dxfId="3" priority="1" operator="equal">
      <formula>0</formula>
    </cfRule>
    <cfRule type="cellIs" dxfId="2" priority="2" operator="equal">
      <formula>0</formula>
    </cfRule>
    <cfRule type="cellIs" dxfId="1" priority="3" operator="between">
      <formula>1</formula>
      <formula>10</formula>
    </cfRule>
    <cfRule type="cellIs" dxfId="0" priority="4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E6" sqref="E6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125</v>
      </c>
      <c r="B1">
        <v>4</v>
      </c>
    </row>
    <row r="2" spans="1:2" x14ac:dyDescent="0.3">
      <c r="A2" t="s">
        <v>126</v>
      </c>
      <c r="B2">
        <v>21</v>
      </c>
    </row>
    <row r="3" spans="1:2" x14ac:dyDescent="0.3">
      <c r="A3" t="s">
        <v>127</v>
      </c>
      <c r="B3">
        <v>182</v>
      </c>
    </row>
    <row r="6" spans="1:2" x14ac:dyDescent="0.3">
      <c r="A6" s="70" t="s">
        <v>190</v>
      </c>
      <c r="B6" s="70"/>
    </row>
    <row r="7" spans="1:2" x14ac:dyDescent="0.3">
      <c r="A7" t="s">
        <v>119</v>
      </c>
    </row>
    <row r="8" spans="1:2" x14ac:dyDescent="0.3">
      <c r="A8" t="s">
        <v>191</v>
      </c>
    </row>
  </sheetData>
  <sheetProtection algorithmName="SHA-512" hashValue="5H1Chq0hSWEu0P9kgA69s2QVKOHBhCBG7cJWiH5am8we0n21jZc5SlJvb3jPFSB8AP1ztzArWvrhM65kHD1DpQ==" saltValue="+cZzZR/0E9M1WyLD5/Lb1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5D16B-4449-4504-B7A5-B63B8A634799}">
  <sheetPr codeName="stb_3"/>
  <dimension ref="A1:Q36"/>
  <sheetViews>
    <sheetView showGridLines="0" zoomScale="85" zoomScaleNormal="85" workbookViewId="0">
      <selection activeCell="I30" sqref="I30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" width="8.88671875" style="3"/>
    <col min="17" max="17" width="17.5546875" style="3" customWidth="1"/>
    <col min="18" max="16384" width="8.88671875" style="3"/>
  </cols>
  <sheetData>
    <row r="1" spans="1:17" ht="15" customHeight="1" thickTop="1" x14ac:dyDescent="0.3">
      <c r="A1" s="53" t="s">
        <v>0</v>
      </c>
      <c r="B1" s="42" t="s">
        <v>2</v>
      </c>
      <c r="C1" s="43"/>
      <c r="D1" s="43"/>
      <c r="E1" s="43"/>
      <c r="F1" s="43"/>
      <c r="G1" s="43"/>
      <c r="H1" s="46"/>
      <c r="I1" s="47"/>
      <c r="J1" s="28"/>
    </row>
    <row r="2" spans="1:17" ht="15" customHeight="1" thickBot="1" x14ac:dyDescent="0.35">
      <c r="A2" s="54"/>
      <c r="B2" s="44"/>
      <c r="C2" s="44"/>
      <c r="D2" s="44"/>
      <c r="E2" s="44"/>
      <c r="F2" s="44"/>
      <c r="G2" s="44"/>
      <c r="H2" s="48"/>
      <c r="I2" s="49"/>
      <c r="J2" s="20"/>
      <c r="L2" s="28"/>
      <c r="M2" s="33">
        <f>ALL_PRODUCTS!H7</f>
        <v>847</v>
      </c>
      <c r="N2" s="33"/>
      <c r="O2" s="33"/>
      <c r="P2" s="33"/>
      <c r="Q2" s="33"/>
    </row>
    <row r="3" spans="1:17" ht="15" thickTop="1" x14ac:dyDescent="0.3">
      <c r="A3" s="27"/>
      <c r="B3" s="27"/>
      <c r="C3" s="5"/>
      <c r="D3" s="27"/>
      <c r="E3" s="5"/>
      <c r="F3" s="5"/>
      <c r="G3" s="27"/>
      <c r="H3" s="27"/>
      <c r="I3" s="27"/>
      <c r="J3" s="13"/>
      <c r="L3" s="28"/>
      <c r="M3" s="33"/>
      <c r="N3" s="33"/>
      <c r="O3" s="33"/>
      <c r="P3" s="33"/>
      <c r="Q3" s="33"/>
    </row>
    <row r="4" spans="1:17" x14ac:dyDescent="0.3">
      <c r="A4" s="51" t="s">
        <v>1</v>
      </c>
      <c r="B4" s="51"/>
      <c r="C4" s="51"/>
      <c r="D4" s="27"/>
      <c r="E4" s="27"/>
      <c r="F4" s="27"/>
      <c r="G4" s="16" t="s">
        <v>113</v>
      </c>
      <c r="H4" s="36" t="s">
        <v>115</v>
      </c>
      <c r="I4" s="36"/>
      <c r="M4" s="33"/>
      <c r="N4" s="33"/>
      <c r="O4" s="33"/>
      <c r="P4" s="33"/>
      <c r="Q4" s="33"/>
    </row>
    <row r="5" spans="1:17" x14ac:dyDescent="0.3">
      <c r="A5" s="45" t="s">
        <v>108</v>
      </c>
      <c r="B5" s="45"/>
      <c r="C5" s="45"/>
      <c r="D5" s="45"/>
      <c r="E5" s="27"/>
      <c r="F5" s="27"/>
      <c r="G5" s="16" t="s">
        <v>114</v>
      </c>
      <c r="H5" s="36" t="s">
        <v>116</v>
      </c>
      <c r="I5" s="36"/>
      <c r="M5" s="33"/>
      <c r="N5" s="33"/>
      <c r="O5" s="33"/>
      <c r="P5" s="33"/>
      <c r="Q5" s="33"/>
    </row>
    <row r="6" spans="1:17" x14ac:dyDescent="0.3">
      <c r="A6" s="45"/>
      <c r="B6" s="45"/>
      <c r="C6" s="45"/>
      <c r="D6" s="45"/>
      <c r="E6" s="27"/>
      <c r="F6" s="27"/>
      <c r="G6" s="16" t="s">
        <v>117</v>
      </c>
      <c r="H6" s="37" t="s">
        <v>118</v>
      </c>
      <c r="I6" s="37"/>
      <c r="M6" s="33"/>
      <c r="N6" s="33"/>
      <c r="O6" s="33"/>
      <c r="P6" s="33"/>
      <c r="Q6" s="33"/>
    </row>
    <row r="7" spans="1:17" x14ac:dyDescent="0.3">
      <c r="A7" s="45"/>
      <c r="B7" s="45"/>
      <c r="C7" s="45"/>
      <c r="D7" s="45"/>
      <c r="E7" s="27"/>
      <c r="F7" s="27"/>
      <c r="G7" s="27"/>
      <c r="H7" s="27"/>
      <c r="I7" s="27"/>
      <c r="J7" s="27"/>
      <c r="M7" s="32" t="s">
        <v>224</v>
      </c>
      <c r="N7" s="32"/>
      <c r="O7" s="32"/>
      <c r="P7" s="32"/>
      <c r="Q7" s="32"/>
    </row>
    <row r="8" spans="1:17" x14ac:dyDescent="0.3">
      <c r="A8" s="14"/>
      <c r="B8" s="14"/>
      <c r="C8" s="14"/>
      <c r="D8" s="14"/>
      <c r="E8" s="27"/>
      <c r="F8" s="27"/>
      <c r="G8" s="15" t="s">
        <v>109</v>
      </c>
      <c r="H8" s="40">
        <v>182</v>
      </c>
      <c r="I8" s="40"/>
      <c r="M8" s="32"/>
      <c r="N8" s="32"/>
      <c r="O8" s="32"/>
      <c r="P8" s="32"/>
      <c r="Q8" s="32"/>
    </row>
    <row r="9" spans="1:17" x14ac:dyDescent="0.3">
      <c r="A9" s="51" t="s">
        <v>112</v>
      </c>
      <c r="B9" s="51"/>
      <c r="C9" s="27"/>
      <c r="D9" s="27"/>
      <c r="E9" s="27"/>
      <c r="F9" s="27"/>
      <c r="G9" s="17" t="s">
        <v>110</v>
      </c>
      <c r="H9" s="52" t="s">
        <v>111</v>
      </c>
      <c r="I9" s="52"/>
      <c r="M9" s="32"/>
      <c r="N9" s="32"/>
      <c r="O9" s="32"/>
      <c r="P9" s="32"/>
      <c r="Q9" s="32"/>
    </row>
    <row r="10" spans="1:17" x14ac:dyDescent="0.3">
      <c r="A10" s="36" t="s">
        <v>231</v>
      </c>
      <c r="B10" s="36"/>
      <c r="C10" s="36"/>
      <c r="D10" s="27"/>
      <c r="E10" s="27"/>
      <c r="F10" s="27"/>
      <c r="G10" s="27"/>
      <c r="J10" s="27"/>
      <c r="M10" s="32"/>
      <c r="N10" s="32"/>
      <c r="O10" s="32"/>
      <c r="P10" s="32"/>
      <c r="Q10" s="32"/>
    </row>
    <row r="11" spans="1:17" x14ac:dyDescent="0.3">
      <c r="A11" s="50" t="s">
        <v>192</v>
      </c>
      <c r="B11" s="50"/>
      <c r="C11" s="50"/>
      <c r="D11" s="50"/>
      <c r="E11" s="27"/>
      <c r="F11" s="27"/>
      <c r="G11" s="16" t="s">
        <v>121</v>
      </c>
      <c r="H11" s="41" t="s">
        <v>122</v>
      </c>
      <c r="I11" s="41"/>
      <c r="J11" s="27"/>
    </row>
    <row r="12" spans="1:17" x14ac:dyDescent="0.3">
      <c r="A12" s="50"/>
      <c r="B12" s="50"/>
      <c r="C12" s="50"/>
      <c r="D12" s="50"/>
      <c r="E12" s="27"/>
      <c r="F12" s="27"/>
      <c r="G12" s="27"/>
      <c r="H12" s="6"/>
      <c r="I12" s="27"/>
      <c r="J12" s="27"/>
    </row>
    <row r="13" spans="1:17" x14ac:dyDescent="0.3">
      <c r="A13" s="26"/>
      <c r="B13" s="26"/>
      <c r="C13" s="26"/>
      <c r="D13" s="26"/>
      <c r="E13" s="27"/>
      <c r="F13" s="27"/>
      <c r="G13" s="27"/>
      <c r="H13" s="6"/>
      <c r="I13" s="27"/>
      <c r="J13" s="27"/>
    </row>
    <row r="14" spans="1:17" x14ac:dyDescent="0.3">
      <c r="A14" s="27"/>
      <c r="B14" s="27"/>
      <c r="C14" s="27"/>
      <c r="D14" s="27"/>
      <c r="E14" s="27"/>
      <c r="F14" s="27"/>
      <c r="G14" s="27"/>
      <c r="H14" s="27"/>
      <c r="I14" s="27"/>
      <c r="J14" s="27"/>
    </row>
    <row r="15" spans="1:17" x14ac:dyDescent="0.3">
      <c r="A15" s="12" t="s">
        <v>9</v>
      </c>
      <c r="B15" s="38" t="s">
        <v>10</v>
      </c>
      <c r="C15" s="39"/>
      <c r="D15" s="38" t="s">
        <v>11</v>
      </c>
      <c r="E15" s="39"/>
      <c r="F15" s="12" t="s">
        <v>3</v>
      </c>
      <c r="G15" s="12" t="s">
        <v>12</v>
      </c>
      <c r="H15" s="38" t="s">
        <v>123</v>
      </c>
      <c r="I15" s="39"/>
      <c r="J15" s="28"/>
    </row>
    <row r="16" spans="1:17" x14ac:dyDescent="0.3">
      <c r="A16" s="18">
        <v>35</v>
      </c>
      <c r="B16" s="18" t="s">
        <v>93</v>
      </c>
      <c r="C16" s="18"/>
      <c r="D16" s="18">
        <v>45</v>
      </c>
      <c r="E16" s="18"/>
      <c r="F16" s="18">
        <v>4</v>
      </c>
      <c r="G16" s="18">
        <v>20</v>
      </c>
      <c r="H16" s="18">
        <v>180</v>
      </c>
      <c r="I16" s="18"/>
      <c r="J16" s="28"/>
    </row>
    <row r="17" spans="1:17" x14ac:dyDescent="0.3">
      <c r="A17" s="18">
        <v>32</v>
      </c>
      <c r="B17" s="18" t="s">
        <v>90</v>
      </c>
      <c r="C17" s="18"/>
      <c r="D17" s="18">
        <v>44</v>
      </c>
      <c r="E17" s="18"/>
      <c r="F17" s="18">
        <v>4</v>
      </c>
      <c r="G17" s="18">
        <v>20</v>
      </c>
      <c r="H17" s="18">
        <v>176</v>
      </c>
      <c r="I17" s="18"/>
      <c r="J17" s="28"/>
    </row>
    <row r="18" spans="1:17" x14ac:dyDescent="0.3">
      <c r="A18" s="18">
        <v>32</v>
      </c>
      <c r="B18" s="18" t="s">
        <v>90</v>
      </c>
      <c r="C18" s="18"/>
      <c r="D18" s="18">
        <v>50</v>
      </c>
      <c r="E18" s="18"/>
      <c r="F18" s="18">
        <v>3</v>
      </c>
      <c r="G18" s="18">
        <v>20</v>
      </c>
      <c r="H18" s="18">
        <v>150</v>
      </c>
      <c r="I18" s="18"/>
      <c r="J18" s="28"/>
    </row>
    <row r="19" spans="1:17" x14ac:dyDescent="0.3">
      <c r="A19" s="18">
        <v>33</v>
      </c>
      <c r="B19" s="18" t="s">
        <v>91</v>
      </c>
      <c r="C19" s="18"/>
      <c r="D19" s="18">
        <v>40</v>
      </c>
      <c r="E19" s="18"/>
      <c r="F19" s="18">
        <v>4</v>
      </c>
      <c r="G19" s="18">
        <v>50</v>
      </c>
      <c r="H19" s="18">
        <v>160</v>
      </c>
      <c r="I19" s="18"/>
      <c r="J19" s="28"/>
    </row>
    <row r="20" spans="1:17" x14ac:dyDescent="0.3">
      <c r="A20" s="18">
        <v>43</v>
      </c>
      <c r="B20" s="18" t="s">
        <v>101</v>
      </c>
      <c r="C20" s="18"/>
      <c r="D20" s="18">
        <v>35</v>
      </c>
      <c r="E20" s="18"/>
      <c r="F20" s="18">
        <v>4</v>
      </c>
      <c r="G20" s="18">
        <v>3</v>
      </c>
      <c r="H20" s="18">
        <v>140</v>
      </c>
      <c r="I20" s="18"/>
      <c r="J20" s="28"/>
    </row>
    <row r="21" spans="1:17" x14ac:dyDescent="0.3">
      <c r="A21" s="30"/>
      <c r="B21" s="31" t="s">
        <v>4</v>
      </c>
      <c r="C21" s="31"/>
      <c r="D21" s="30"/>
      <c r="E21" s="30"/>
      <c r="F21" s="30"/>
      <c r="G21" s="30"/>
      <c r="H21" s="30">
        <v>806</v>
      </c>
      <c r="I21" s="30"/>
      <c r="J21" s="28"/>
    </row>
    <row r="22" spans="1:17" x14ac:dyDescent="0.3">
      <c r="A22" s="18"/>
      <c r="B22" s="18"/>
      <c r="C22" s="18"/>
      <c r="D22" s="18"/>
      <c r="E22" s="18"/>
      <c r="F22" s="18"/>
      <c r="G22" s="18"/>
      <c r="H22" s="18"/>
      <c r="I22" s="18"/>
      <c r="J22" s="28"/>
    </row>
    <row r="23" spans="1:17" x14ac:dyDescent="0.3">
      <c r="A23" s="18"/>
      <c r="B23" s="18"/>
      <c r="C23" s="18"/>
      <c r="D23" s="18"/>
      <c r="E23" s="18"/>
      <c r="F23" s="18"/>
      <c r="G23" s="28"/>
      <c r="H23" s="28"/>
      <c r="I23" s="28"/>
      <c r="J23" s="28"/>
    </row>
    <row r="24" spans="1:17" x14ac:dyDescent="0.3">
      <c r="A24" s="27"/>
      <c r="B24" s="27"/>
      <c r="C24" s="27"/>
      <c r="D24" s="27"/>
      <c r="E24" s="27"/>
      <c r="F24" s="62" t="s">
        <v>194</v>
      </c>
      <c r="G24" s="63"/>
      <c r="H24" s="59">
        <v>806</v>
      </c>
      <c r="I24" s="59"/>
      <c r="J24" s="27"/>
      <c r="M24" s="34"/>
      <c r="N24" s="34"/>
      <c r="O24" s="34"/>
      <c r="P24" s="34"/>
      <c r="Q24" s="34"/>
    </row>
    <row r="25" spans="1:17" x14ac:dyDescent="0.3">
      <c r="A25" s="56" t="s">
        <v>190</v>
      </c>
      <c r="B25" s="57"/>
      <c r="C25" s="58"/>
      <c r="D25" s="25" t="s">
        <v>191</v>
      </c>
      <c r="E25" s="27"/>
      <c r="F25" s="64" t="s">
        <v>195</v>
      </c>
      <c r="G25" s="65"/>
      <c r="H25" s="60">
        <v>403</v>
      </c>
      <c r="I25" s="60"/>
      <c r="J25" s="27"/>
      <c r="M25" s="34"/>
      <c r="N25" s="34"/>
      <c r="O25" s="34"/>
      <c r="P25" s="34"/>
      <c r="Q25" s="34"/>
    </row>
    <row r="26" spans="1:17" ht="23.4" x14ac:dyDescent="0.45">
      <c r="A26" s="55" t="s">
        <v>133</v>
      </c>
      <c r="B26" s="55"/>
      <c r="C26" s="55"/>
      <c r="D26" s="28"/>
      <c r="E26" s="27"/>
      <c r="F26" s="66" t="s">
        <v>196</v>
      </c>
      <c r="G26" s="67"/>
      <c r="H26" s="61">
        <v>403</v>
      </c>
      <c r="I26" s="61"/>
      <c r="J26" s="27"/>
    </row>
    <row r="27" spans="1:17" x14ac:dyDescent="0.3">
      <c r="A27" s="28"/>
      <c r="B27" s="28"/>
      <c r="C27" s="28"/>
      <c r="D27" s="28"/>
      <c r="E27" s="27"/>
      <c r="F27" s="27"/>
      <c r="G27" s="27"/>
      <c r="H27" s="27"/>
      <c r="I27" s="27"/>
      <c r="J27" s="27"/>
      <c r="M27" s="28"/>
      <c r="N27" s="28"/>
      <c r="O27" s="28"/>
      <c r="P27" s="28"/>
      <c r="Q27" s="28"/>
    </row>
    <row r="28" spans="1:17" x14ac:dyDescent="0.3">
      <c r="A28" s="28"/>
      <c r="B28" s="28"/>
      <c r="C28" s="28"/>
      <c r="D28" s="28"/>
      <c r="E28" s="27"/>
      <c r="F28" s="27"/>
      <c r="G28" s="27"/>
      <c r="H28" s="27"/>
      <c r="I28" s="27"/>
      <c r="J28" s="27"/>
      <c r="M28" s="28"/>
      <c r="N28" s="28"/>
      <c r="O28" s="28"/>
      <c r="P28" s="28"/>
      <c r="Q28" s="28"/>
    </row>
    <row r="29" spans="1:17" x14ac:dyDescent="0.3">
      <c r="A29" s="55"/>
      <c r="B29" s="55"/>
      <c r="C29" s="55"/>
      <c r="D29" s="28"/>
      <c r="E29" s="27"/>
      <c r="F29" s="27"/>
      <c r="G29" s="27"/>
      <c r="H29" s="27"/>
      <c r="I29" s="27"/>
      <c r="J29" s="27"/>
      <c r="M29" s="28"/>
      <c r="N29" s="28"/>
      <c r="O29" s="28"/>
      <c r="P29" s="28"/>
      <c r="Q29" s="28"/>
    </row>
    <row r="30" spans="1:17" x14ac:dyDescent="0.3">
      <c r="A30" s="27"/>
      <c r="B30" s="27"/>
      <c r="C30" s="27"/>
      <c r="D30" s="27"/>
      <c r="E30" s="27"/>
      <c r="F30" s="27"/>
      <c r="G30" s="27"/>
      <c r="H30" s="27"/>
      <c r="I30" s="27"/>
      <c r="J30" s="27"/>
      <c r="M30" s="28"/>
      <c r="N30" s="28"/>
      <c r="O30" s="28"/>
      <c r="P30" s="28"/>
      <c r="Q30" s="28"/>
    </row>
    <row r="31" spans="1:17" x14ac:dyDescent="0.3">
      <c r="A31" s="27"/>
      <c r="B31" s="27"/>
      <c r="C31" s="27"/>
      <c r="D31" s="27"/>
      <c r="E31" s="27"/>
      <c r="F31" s="27"/>
      <c r="G31" s="27"/>
      <c r="H31" s="27"/>
      <c r="I31" s="27"/>
      <c r="J31" s="27"/>
    </row>
    <row r="32" spans="1:17" x14ac:dyDescent="0.3">
      <c r="A32" s="27"/>
      <c r="B32" s="27"/>
      <c r="C32" s="27"/>
      <c r="D32" s="27"/>
      <c r="E32" s="27"/>
      <c r="F32" s="27"/>
      <c r="G32" s="27"/>
      <c r="H32" s="27"/>
      <c r="I32" s="27"/>
      <c r="J32" s="27"/>
    </row>
    <row r="33" spans="1:10" x14ac:dyDescent="0.3">
      <c r="A33" s="35" t="s">
        <v>120</v>
      </c>
      <c r="B33" s="35"/>
      <c r="C33" s="35"/>
      <c r="D33" s="35"/>
      <c r="E33" s="35"/>
      <c r="F33" s="35"/>
      <c r="G33" s="35"/>
      <c r="H33" s="27"/>
      <c r="I33" s="27"/>
      <c r="J33" s="27"/>
    </row>
    <row r="34" spans="1:10" x14ac:dyDescent="0.3">
      <c r="A34" s="27"/>
      <c r="B34" s="27"/>
      <c r="C34" s="27"/>
      <c r="D34" s="27"/>
      <c r="E34" s="27"/>
      <c r="F34" s="27"/>
      <c r="G34" s="27"/>
      <c r="H34" s="27"/>
      <c r="I34" s="27"/>
      <c r="J34" s="27"/>
    </row>
    <row r="35" spans="1:10" x14ac:dyDescent="0.3">
      <c r="A35" s="27"/>
      <c r="B35" s="27"/>
      <c r="C35" s="27"/>
      <c r="D35" s="27"/>
      <c r="E35" s="27"/>
      <c r="F35" s="27"/>
      <c r="G35" s="27"/>
      <c r="H35" s="27"/>
      <c r="I35" s="27"/>
      <c r="J35" s="27"/>
    </row>
    <row r="36" spans="1:10" x14ac:dyDescent="0.3">
      <c r="A36" s="27"/>
      <c r="B36" s="27"/>
      <c r="C36" s="27"/>
      <c r="D36" s="27"/>
      <c r="E36" s="27"/>
      <c r="F36" s="27"/>
      <c r="G36" s="27"/>
      <c r="H36" s="27"/>
      <c r="I36" s="27"/>
      <c r="J36" s="27"/>
    </row>
  </sheetData>
  <sheetProtection algorithmName="SHA-512" hashValue="jP+XNsEr5dajv2OeE+xefxSs0LUP3xF7PPF9KZyboISJjyKjKPwMoKCd33SW0M0pZR1hpCIok/x6Eb8eX1sd9Q==" saltValue="bPgy3PDSDS8GSZOujQWMuQ==" spinCount="100000" sheet="1" objects="1" scenarios="1"/>
  <mergeCells count="31">
    <mergeCell ref="A29:C29"/>
    <mergeCell ref="A33:G33"/>
    <mergeCell ref="M24:Q25"/>
    <mergeCell ref="A25:C25"/>
    <mergeCell ref="F25:G25"/>
    <mergeCell ref="H25:I25"/>
    <mergeCell ref="A26:C26"/>
    <mergeCell ref="F26:G26"/>
    <mergeCell ref="H26:I26"/>
    <mergeCell ref="B15:C15"/>
    <mergeCell ref="D15:E15"/>
    <mergeCell ref="H15:I15"/>
    <mergeCell ref="B21:C21"/>
    <mergeCell ref="F24:G24"/>
    <mergeCell ref="H24:I24"/>
    <mergeCell ref="H8:I8"/>
    <mergeCell ref="A9:B9"/>
    <mergeCell ref="H9:I9"/>
    <mergeCell ref="A10:C10"/>
    <mergeCell ref="A11:D12"/>
    <mergeCell ref="H11:I11"/>
    <mergeCell ref="A1:A2"/>
    <mergeCell ref="B1:G2"/>
    <mergeCell ref="H1:I2"/>
    <mergeCell ref="M2:Q6"/>
    <mergeCell ref="A4:C4"/>
    <mergeCell ref="H4:I4"/>
    <mergeCell ref="A5:D7"/>
    <mergeCell ref="H5:I5"/>
    <mergeCell ref="H6:I6"/>
    <mergeCell ref="M7:Q10"/>
  </mergeCells>
  <hyperlinks>
    <hyperlink ref="B1" r:id="rId1" xr:uid="{9A966B02-616C-477D-AB05-30C075CD9D59}"/>
    <hyperlink ref="H6" r:id="rId2" xr:uid="{15B4C305-B41E-46AD-84C8-F9FC797D769F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INVOICE</vt:lpstr>
      <vt:lpstr>PATIENT_DETAILS</vt:lpstr>
      <vt:lpstr>ALL_PRODUCTS</vt:lpstr>
      <vt:lpstr>LAST_DATA</vt:lpstr>
      <vt:lpstr>INVOICE_BACKUP</vt:lpstr>
      <vt:lpstr>all_p</vt:lpstr>
      <vt:lpstr>all_p2</vt:lpstr>
      <vt:lpstr>p_mode</vt:lpstr>
      <vt:lpstr>INVOICE_BACKUP!payment_mode</vt:lpstr>
      <vt:lpstr>payment_mode</vt:lpstr>
      <vt:lpstr>INVOICE!Print_Area</vt:lpstr>
      <vt:lpstr>INVOICE_BACKUP!Print_Area</vt:lpstr>
      <vt:lpstr>PATIENT_DETAILS!Print_Area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2021-05-02T10:23:17Z</cp:lastPrinted>
  <dcterms:created xsi:type="dcterms:W3CDTF">2021-04-07T08:23:00Z</dcterms:created>
  <dcterms:modified xsi:type="dcterms:W3CDTF">2021-05-02T10:23:58Z</dcterms:modified>
</cp:coreProperties>
</file>