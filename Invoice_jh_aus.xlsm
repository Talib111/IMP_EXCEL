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AD707B27-B25B-4E3B-9915-176AB97C5F16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PATIENT_DETAILS" sheetId="2" r:id="rId2"/>
    <sheet name="ALL_PRODUCTS" sheetId="3" r:id="rId3"/>
    <sheet name="LAST_DATA" sheetId="6" state="hidden" r:id="rId4"/>
    <sheet name="BILL_DETAILS" sheetId="11" r:id="rId5"/>
    <sheet name="RAW_BILL" sheetId="13" r:id="rId6"/>
    <sheet name="INVOICE_BACKUP" sheetId="14" state="hidden" r:id="rId7"/>
  </sheets>
  <definedNames>
    <definedName name="all_code">ALL_PRODUCTS!$A:$A,ALL_PRODUCTS!$A$1</definedName>
    <definedName name="all_p">ALL_PRODUCTS!$A$2:$A$46</definedName>
    <definedName name="all_p2">ALL_PRODUCTS!$A$2:$B$46</definedName>
    <definedName name="p_mode">LAST_DATA!$A$7:$A$8</definedName>
    <definedName name="payment_mode" localSheetId="6">INVOICE_BACKUP!$B$22,INVOICE_BACKUP!$B$23</definedName>
    <definedName name="payment_mode" localSheetId="5">RAW_BILL!$B$22,RAW_BILL!$B$23</definedName>
    <definedName name="payment_mode">INVOICE!$B$23,INVOICE!$B$24</definedName>
    <definedName name="_xlnm.Print_Area" localSheetId="0">INVOICE!$A$1:$I$43</definedName>
    <definedName name="_xlnm.Print_Area" localSheetId="6">INVOICE_BACKUP!$A$1:$I$42</definedName>
    <definedName name="_xlnm.Print_Area" localSheetId="1">PATIENT_DETAILS!$A$1:$Q$1</definedName>
    <definedName name="_xlnm.Print_Area" localSheetId="5">RAW_BILL!$A$1:$I$42</definedName>
    <definedName name="pro_all_show">ALL_PRODUCTS!$A:$B</definedName>
    <definedName name="Z_8DC053BE_EB89_4885_89A0_24C42D97A77D_.wvu.PrintArea" localSheetId="0" hidden="1">INVOICE!$A$1:$J$33</definedName>
    <definedName name="Z_8DC053BE_EB89_4885_89A0_24C42D97A77D_.wvu.PrintArea" localSheetId="6" hidden="1">INVOICE_BACKUP!$A$1:$J$32</definedName>
    <definedName name="Z_8DC053BE_EB89_4885_89A0_24C42D97A77D_.wvu.PrintArea" localSheetId="1" hidden="1">PATIENT_DETAILS!$A$1:$Q$1</definedName>
    <definedName name="Z_8DC053BE_EB89_4885_89A0_24C42D97A77D_.wvu.PrintArea" localSheetId="5" hidden="1">RAW_BILL!$A$1:$J$32</definedName>
    <definedName name="Z_8FE8D380_9834_4D13_8274_5A880500ABE9_.wvu.Cols" localSheetId="1" hidden="1">PATIENT_DETAILS!$A:$A</definedName>
    <definedName name="Z_8FE8D380_9834_4D13_8274_5A880500ABE9_.wvu.PrintArea" localSheetId="0" hidden="1">INVOICE!$A$1:$J$33</definedName>
    <definedName name="Z_8FE8D380_9834_4D13_8274_5A880500ABE9_.wvu.PrintArea" localSheetId="6" hidden="1">INVOICE_BACKUP!$A$1:$J$32</definedName>
    <definedName name="Z_8FE8D380_9834_4D13_8274_5A880500ABE9_.wvu.PrintArea" localSheetId="1" hidden="1">PATIENT_DETAILS!$A$1:$Q$1</definedName>
    <definedName name="Z_8FE8D380_9834_4D13_8274_5A880500ABE9_.wvu.PrintArea" localSheetId="5" hidden="1">RAW_BILL!$A$1:$J$32</definedName>
    <definedName name="Z_FFE8592F_0ABA_4B06_8608_574265821AC0_.wvu.Cols" localSheetId="1" hidden="1">PATIENT_DETAILS!$A:$A</definedName>
    <definedName name="Z_FFE8592F_0ABA_4B06_8608_574265821AC0_.wvu.PrintArea" localSheetId="0" hidden="1">INVOICE!$A$1:$J$33</definedName>
    <definedName name="Z_FFE8592F_0ABA_4B06_8608_574265821AC0_.wvu.PrintArea" localSheetId="6" hidden="1">INVOICE_BACKUP!$A$1:$J$32</definedName>
    <definedName name="Z_FFE8592F_0ABA_4B06_8608_574265821AC0_.wvu.PrintArea" localSheetId="1" hidden="1">PATIENT_DETAILS!$A$1:$Q$1</definedName>
    <definedName name="Z_FFE8592F_0ABA_4B06_8608_574265821AC0_.wvu.PrintArea" localSheetId="5" hidden="1">RAW_BILL!$A$1:$J$32</definedName>
    <definedName name="Z_FFE8592F_0ABA_4B06_8608_574265821AC0_.wvu.Rows" localSheetId="1" hidden="1">PATIENT_DETAILS!$1:$1</definedName>
  </definedNames>
  <calcPr calcId="181029"/>
  <customWorkbookViews>
    <customWorkbookView name="talib" guid="{8DC053BE-EB89-4885-89A0-24C42D97A77D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shark" guid="{FFE8592F-0ABA-4B06-8608-574265821AC0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3" l="1"/>
  <c r="H17" i="13" s="1"/>
  <c r="H20" i="13" s="1"/>
  <c r="H22" i="13" s="1"/>
  <c r="H7" i="3" l="1"/>
  <c r="M2" i="14" s="1"/>
  <c r="M2" i="13" l="1"/>
  <c r="M2" i="1"/>
</calcChain>
</file>

<file path=xl/sharedStrings.xml><?xml version="1.0" encoding="utf-8"?>
<sst xmlns="http://schemas.openxmlformats.org/spreadsheetml/2006/main" count="421" uniqueCount="297">
  <si>
    <t>Invoice</t>
  </si>
  <si>
    <t>www.jharkhandaushadhalaya.com</t>
  </si>
  <si>
    <t>QTY</t>
  </si>
  <si>
    <t>PATIENT NAME</t>
  </si>
  <si>
    <t>SL.NO</t>
  </si>
  <si>
    <t>INVOICE NO</t>
  </si>
  <si>
    <t>DATE</t>
  </si>
  <si>
    <t>P-CODE</t>
  </si>
  <si>
    <t>PROUDUCT</t>
  </si>
  <si>
    <t>GST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</si>
  <si>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</si>
  <si>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</si>
  <si>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</si>
  <si>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</si>
  <si>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</si>
  <si>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</si>
  <si>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</si>
  <si>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</si>
  <si>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</si>
  <si>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</si>
  <si>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</si>
  <si>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</si>
  <si>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</si>
  <si>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</si>
  <si>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</si>
  <si>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</si>
  <si>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</si>
  <si>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</si>
  <si>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</si>
  <si>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</si>
  <si>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</si>
  <si>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</si>
  <si>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</si>
  <si>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</si>
  <si>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</si>
  <si>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</si>
  <si>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</si>
  <si>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</si>
  <si>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</si>
  <si>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</si>
  <si>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</si>
  <si>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</si>
  <si>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</si>
  <si>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</si>
  <si>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</si>
  <si>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</si>
  <si>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</si>
  <si>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</si>
  <si>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</si>
  <si>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</si>
  <si>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</si>
  <si>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</si>
  <si>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</si>
  <si>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</si>
  <si>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</si>
  <si>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</si>
  <si>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</si>
  <si>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</si>
  <si>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</si>
  <si>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</si>
  <si>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</si>
  <si>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</si>
  <si>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</si>
  <si>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</si>
  <si>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</si>
  <si>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</si>
  <si>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</si>
  <si>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</si>
  <si>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</si>
  <si>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</si>
  <si>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</si>
  <si>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</si>
  <si>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</si>
  <si>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</si>
  <si>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</si>
  <si>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</si>
  <si>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</si>
  <si>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</si>
  <si>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</si>
  <si>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</si>
  <si>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</si>
  <si>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</si>
  <si>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</si>
  <si>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</si>
  <si>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</si>
  <si>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</si>
  <si>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</si>
  <si>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</si>
  <si>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</si>
  <si>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</si>
  <si>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</si>
  <si>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</si>
  <si>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</si>
  <si>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</si>
  <si>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</si>
  <si>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</si>
  <si>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</si>
  <si>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</si>
  <si>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</si>
  <si>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</si>
  <si>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</si>
  <si>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</si>
  <si>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</si>
  <si>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</si>
  <si>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</si>
  <si>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</si>
  <si>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</si>
  <si>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 xml:space="preserve">mob1: </t>
  </si>
  <si>
    <t>mob2:</t>
  </si>
  <si>
    <t xml:space="preserve">email: </t>
  </si>
  <si>
    <t>CASH</t>
  </si>
  <si>
    <t>Created By</t>
  </si>
  <si>
    <t>00583</t>
  </si>
  <si>
    <t>loop_row</t>
  </si>
  <si>
    <t>range_var2</t>
  </si>
  <si>
    <t>last_invoice no</t>
  </si>
  <si>
    <t>check is not allowed</t>
  </si>
  <si>
    <t>john</t>
  </si>
  <si>
    <t>ITEM IN STOCK</t>
  </si>
  <si>
    <t>NO. OF ITEM</t>
  </si>
  <si>
    <t>ADDRESS</t>
  </si>
  <si>
    <t>MODE OF PAYMENT</t>
  </si>
  <si>
    <t>ONLINE</t>
  </si>
  <si>
    <t>ranchi</t>
  </si>
  <si>
    <t>Total</t>
  </si>
  <si>
    <t>ranchi jharkhand</t>
  </si>
  <si>
    <t>fldjfl</t>
  </si>
  <si>
    <t>NO. OF ITEM IN STOCK</t>
  </si>
  <si>
    <t>PHONE NO.</t>
  </si>
  <si>
    <t>parent</t>
  </si>
  <si>
    <t>AJ100, NBP</t>
  </si>
  <si>
    <t>jharkhand namkum</t>
  </si>
  <si>
    <t>9006773835</t>
  </si>
  <si>
    <t>flfjlj</t>
  </si>
  <si>
    <t>AJ100, NBP, KIDNEY CURE</t>
  </si>
  <si>
    <t>fdfldj</t>
  </si>
  <si>
    <t>jfdljfl</t>
  </si>
  <si>
    <t>fjfdj</t>
  </si>
  <si>
    <t>fldjfjl</t>
  </si>
  <si>
    <t>54564</t>
  </si>
  <si>
    <t>monu</t>
  </si>
  <si>
    <t>JKN, MASIHI(P), GMSG</t>
  </si>
  <si>
    <t>9031578239</t>
  </si>
  <si>
    <t>monu khan</t>
  </si>
  <si>
    <t>HC, ENT</t>
  </si>
  <si>
    <t>0000000</t>
  </si>
  <si>
    <t>maria</t>
  </si>
  <si>
    <t>456</t>
  </si>
  <si>
    <t>mamama</t>
  </si>
  <si>
    <t>PNG, SKIN CARE, EAR DROP, MAJUM(B), JKN</t>
  </si>
  <si>
    <t>usa</t>
  </si>
  <si>
    <t>6554</t>
  </si>
  <si>
    <t>fdjfjf</t>
  </si>
  <si>
    <t>fldfj</t>
  </si>
  <si>
    <t>45</t>
  </si>
  <si>
    <t>TOTAL AMOUNT</t>
  </si>
  <si>
    <t>jannat</t>
  </si>
  <si>
    <t>namukum</t>
  </si>
  <si>
    <t>5</t>
  </si>
  <si>
    <t>jahannam</t>
  </si>
  <si>
    <t>6446</t>
  </si>
  <si>
    <t>godzial</t>
  </si>
  <si>
    <t>eaden garden</t>
  </si>
  <si>
    <t>646464</t>
  </si>
  <si>
    <t>godzilla</t>
  </si>
  <si>
    <t>4464</t>
  </si>
  <si>
    <t>godzila</t>
  </si>
  <si>
    <t>4</t>
  </si>
  <si>
    <t>fjldjfl</t>
  </si>
  <si>
    <t>fdlfd</t>
  </si>
  <si>
    <t>fdkfk</t>
  </si>
  <si>
    <t>fdk</t>
  </si>
  <si>
    <t>fdkkf</t>
  </si>
  <si>
    <t>fjdjfl</t>
  </si>
  <si>
    <t>f;dkf</t>
  </si>
  <si>
    <t>465</t>
  </si>
  <si>
    <t>Patient Signature</t>
  </si>
  <si>
    <t>Controler Signature</t>
  </si>
  <si>
    <t>jharkhand</t>
  </si>
  <si>
    <t>45455</t>
  </si>
  <si>
    <t>martinnnn</t>
  </si>
  <si>
    <t>alibabab</t>
  </si>
  <si>
    <t>878787</t>
  </si>
  <si>
    <t>MASIHI(P), GMSG</t>
  </si>
  <si>
    <t>flfj</t>
  </si>
  <si>
    <t>fjjdlf</t>
  </si>
  <si>
    <t>new</t>
  </si>
  <si>
    <t>clivland ohayo</t>
  </si>
  <si>
    <t>446</t>
  </si>
  <si>
    <t>lfjldfl</t>
  </si>
  <si>
    <t>fjldjlf</t>
  </si>
  <si>
    <t>jfdlfjl</t>
  </si>
  <si>
    <t>lfjlljl</t>
  </si>
  <si>
    <t>jfjlf</t>
  </si>
  <si>
    <t>lfjldfjl</t>
  </si>
  <si>
    <t>HC, NBP</t>
  </si>
  <si>
    <t>fdjfld</t>
  </si>
  <si>
    <t>4569</t>
  </si>
  <si>
    <t>FLDFJLJLJ</t>
  </si>
  <si>
    <t>ljljl</t>
  </si>
  <si>
    <t>hangover</t>
  </si>
  <si>
    <t>universe</t>
  </si>
  <si>
    <t>545</t>
  </si>
  <si>
    <t>lijljljl</t>
  </si>
  <si>
    <t>ljflj</t>
  </si>
  <si>
    <t>lfjl</t>
  </si>
  <si>
    <t>sin</t>
  </si>
  <si>
    <t>NBP, MASIHI(P), GMSG</t>
  </si>
  <si>
    <t>fkfkkf</t>
  </si>
  <si>
    <t>;fkd;fk</t>
  </si>
  <si>
    <t>;fk</t>
  </si>
  <si>
    <t>fljfl</t>
  </si>
  <si>
    <t>lfjld</t>
  </si>
  <si>
    <t>fjlfjl</t>
  </si>
  <si>
    <t>lfjlfj</t>
  </si>
  <si>
    <t>flflj</t>
  </si>
  <si>
    <t>fdljl</t>
  </si>
  <si>
    <t>ljjlj</t>
  </si>
  <si>
    <t>fjdl</t>
  </si>
  <si>
    <t>jfdjfl</t>
  </si>
  <si>
    <t>lfjlf</t>
  </si>
  <si>
    <t>Bill To</t>
  </si>
  <si>
    <t>झारखंड औशाधालय द्वारा दी गई सारी दवाईयो को मै बिना किसी दबाव के अपनी सहमती से ले रहा हूँ |</t>
  </si>
  <si>
    <t>JHARKHAND AUSHADHALAYA</t>
  </si>
  <si>
    <t>markus</t>
  </si>
  <si>
    <t>Discount (50%)</t>
  </si>
  <si>
    <t>johnpur</t>
  </si>
  <si>
    <t>4646464646</t>
  </si>
  <si>
    <t>lfflj</t>
  </si>
  <si>
    <t>fjlfj</t>
  </si>
  <si>
    <t>lfjldfj</t>
  </si>
  <si>
    <t>lfjdlfj</t>
  </si>
  <si>
    <t>fljldfl</t>
  </si>
  <si>
    <t>fllf</t>
  </si>
  <si>
    <t>jfljfl</t>
  </si>
  <si>
    <t>lfjlj fljslfj</t>
  </si>
  <si>
    <t>lfjlj</t>
  </si>
  <si>
    <t>fljslfj</t>
  </si>
  <si>
    <r>
      <t>Final Total(</t>
    </r>
    <r>
      <rPr>
        <b/>
        <sz val="10"/>
        <color theme="0"/>
        <rFont val="Calibri"/>
        <family val="2"/>
        <scheme val="minor"/>
      </rPr>
      <t>INR</t>
    </r>
    <r>
      <rPr>
        <b/>
        <sz val="16"/>
        <color theme="0"/>
        <rFont val="Calibri"/>
        <family val="2"/>
        <scheme val="minor"/>
      </rPr>
      <t>)</t>
    </r>
  </si>
  <si>
    <r>
      <t>UNIT-COST(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</si>
  <si>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NET AMOUNT(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</si>
  <si>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GRAND TOTAL(</t>
    </r>
    <r>
      <rPr>
        <b/>
        <sz val="9"/>
        <color theme="2"/>
        <rFont val="Calibri"/>
        <family val="2"/>
        <scheme val="minor"/>
      </rPr>
      <t>INR</t>
    </r>
    <r>
      <rPr>
        <b/>
        <sz val="11"/>
        <color theme="2"/>
        <rFont val="Calibri"/>
        <family val="2"/>
        <scheme val="minor"/>
      </rPr>
      <t>)</t>
    </r>
  </si>
  <si>
    <t>aushadhalayajharkhand@gmail.com</t>
  </si>
  <si>
    <t>lukas</t>
  </si>
  <si>
    <t>45454</t>
  </si>
  <si>
    <t>SUPERMAN</t>
  </si>
  <si>
    <t>RANCHI</t>
  </si>
  <si>
    <t>4644</t>
  </si>
  <si>
    <t>ljg</t>
  </si>
  <si>
    <t>gjj</t>
  </si>
  <si>
    <t>lfjldj</t>
  </si>
  <si>
    <t>4454</t>
  </si>
  <si>
    <t>kekkf</t>
  </si>
  <si>
    <t>f;kf; f;;fk</t>
  </si>
  <si>
    <t>Discount (20%)</t>
  </si>
  <si>
    <t>f;kf;</t>
  </si>
  <si>
    <t>f;;fk</t>
  </si>
  <si>
    <t>CODE</t>
  </si>
  <si>
    <t>0046</t>
  </si>
  <si>
    <t>martin</t>
  </si>
  <si>
    <t>0047</t>
  </si>
  <si>
    <t>tulsi</t>
  </si>
  <si>
    <t>0048</t>
  </si>
  <si>
    <t>lemon</t>
  </si>
  <si>
    <t>0049</t>
  </si>
  <si>
    <t>super</t>
  </si>
  <si>
    <t>0050</t>
  </si>
  <si>
    <t>phone</t>
  </si>
  <si>
    <t>silva</t>
  </si>
  <si>
    <t>SUGAR(P), AVR</t>
  </si>
  <si>
    <t>456565</t>
  </si>
  <si>
    <t>0051</t>
  </si>
  <si>
    <t>bench</t>
  </si>
  <si>
    <t>Discount (0%)</t>
  </si>
  <si>
    <t>NGT, JKN</t>
  </si>
  <si>
    <t>hello</t>
  </si>
  <si>
    <t>454454545</t>
  </si>
  <si>
    <t>DAMA(P), MSG(G), KB100</t>
  </si>
  <si>
    <t>jfl</t>
  </si>
  <si>
    <t>fldl</t>
  </si>
  <si>
    <t>alfjldfj</t>
  </si>
  <si>
    <t>fjlfdj</t>
  </si>
  <si>
    <t>46464</t>
  </si>
  <si>
    <t>fldf</t>
  </si>
  <si>
    <t>DAMA(P), DAMA(P)</t>
  </si>
  <si>
    <t>fljslf</t>
  </si>
  <si>
    <t>546</t>
  </si>
  <si>
    <t>fdjfl</t>
  </si>
  <si>
    <t>lflafj</t>
  </si>
  <si>
    <t>fldjlf</t>
  </si>
  <si>
    <t>dfjl</t>
  </si>
  <si>
    <t>fjlsfjl</t>
  </si>
  <si>
    <t>fllfld</t>
  </si>
  <si>
    <t>fjasdfj</t>
  </si>
  <si>
    <t>fslf flf</t>
  </si>
  <si>
    <t>fslf</t>
  </si>
  <si>
    <t>flf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</si>
</sst>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rgb="FF00B0F0"/>
      </right>
      <top style="thick">
        <color rgb="FF00B0F0"/>
      </top>
      <bottom/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8" fillId="0" borderId="0" xfId="0" applyFont="1" applyAlignment="1" applyProtection="1"/>
    <xf numFmtId="0" fontId="9" fillId="0" borderId="0" xfId="0" applyFont="1" applyProtection="1"/>
    <xf numFmtId="14" fontId="9" fillId="0" borderId="0" xfId="0" applyNumberFormat="1" applyFont="1" applyAlignment="1" applyProtection="1"/>
    <xf numFmtId="0" fontId="4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5" borderId="3" xfId="0" applyFont="1" applyFill="1" applyBorder="1" applyProtection="1"/>
    <xf numFmtId="0" fontId="14" fillId="7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14" fontId="0" fillId="0" borderId="0" xfId="0" applyNumberFormat="1"/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14" fillId="7" borderId="0" xfId="0" applyFont="1" applyFill="1" applyBorder="1" applyAlignment="1" applyProtection="1">
      <alignment horizontal="center"/>
    </xf>
    <xf numFmtId="0" fontId="14" fillId="7" borderId="0" xfId="0" applyFont="1" applyFill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left" vertical="top" wrapText="1"/>
    </xf>
    <xf numFmtId="0" fontId="0" fillId="0" borderId="0" xfId="0" applyProtection="1"/>
    <xf numFmtId="0" fontId="0" fillId="0" borderId="0" xfId="0" applyProtection="1"/>
    <xf numFmtId="0" fontId="0" fillId="0" borderId="0" xfId="0" applyProtection="1"/>
    <xf numFmtId="0" fontId="4" fillId="0" borderId="0" xfId="0" applyFont="1" applyProtection="1"/>
    <xf numFmtId="0" fontId="4" fillId="5" borderId="4" xfId="0" applyFont="1" applyFill="1" applyBorder="1" applyAlignment="1" applyProtection="1"/>
    <xf numFmtId="0" fontId="4" fillId="5" borderId="10" xfId="0" applyFont="1" applyFill="1" applyBorder="1" applyAlignment="1" applyProtection="1"/>
    <xf numFmtId="0" fontId="4" fillId="5" borderId="5" xfId="0" applyFont="1" applyFill="1" applyBorder="1" applyAlignment="1" applyProtection="1"/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3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2" fillId="7" borderId="13" xfId="0" applyFont="1" applyFill="1" applyBorder="1" applyAlignment="1" applyProtection="1">
      <alignment horizontal="center"/>
    </xf>
    <xf numFmtId="0" fontId="12" fillId="7" borderId="12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 vertical="top" wrapText="1"/>
    </xf>
    <xf numFmtId="14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7" fillId="0" borderId="0" xfId="1" applyFont="1" applyAlignment="1" applyProtection="1">
      <alignment horizontal="left" vertical="top" wrapText="1"/>
    </xf>
    <xf numFmtId="0" fontId="14" fillId="7" borderId="0" xfId="0" applyFont="1" applyFill="1" applyBorder="1" applyAlignment="1" applyProtection="1">
      <alignment horizontal="center"/>
    </xf>
    <xf numFmtId="0" fontId="10" fillId="6" borderId="0" xfId="0" applyFont="1" applyFill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7" fillId="0" borderId="0" xfId="0" applyFont="1" applyProtection="1"/>
    <xf numFmtId="49" fontId="0" fillId="0" borderId="0" xfId="0" applyNumberFormat="1" applyProtection="1"/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4" fillId="0" borderId="10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0" fillId="0" borderId="0" xfId="0" applyAlignment="1" applyProtection="1">
      <alignment vertical="top" wrapText="1"/>
    </xf>
    <xf numFmtId="0" fontId="3" fillId="3" borderId="8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7" fillId="2" borderId="2" xfId="0" applyFont="1" applyFill="1" applyBorder="1" applyAlignment="1" applyProtection="1">
      <alignment horizontal="center" vertical="center"/>
    </xf>
    <xf numFmtId="0" fontId="17" fillId="2" borderId="14" xfId="0" applyFont="1" applyFill="1" applyBorder="1" applyAlignment="1" applyProtection="1">
      <alignment horizontal="center" vertical="center"/>
    </xf>
    <xf numFmtId="0" fontId="17" fillId="2" borderId="1" xfId="0" applyFont="1" applyFill="1" applyBorder="1" applyAlignment="1" applyProtection="1">
      <alignment horizontal="center" vertical="center"/>
    </xf>
    <xf numFmtId="0" fontId="17" fillId="2" borderId="15" xfId="0" applyFont="1" applyFill="1" applyBorder="1" applyAlignment="1" applyProtection="1">
      <alignment horizontal="center" vertical="center"/>
    </xf>
    <xf numFmtId="0" fontId="16" fillId="3" borderId="16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17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/>
  </cellXfs>
  <cellStyles count="2">
    <cellStyle name="Hyperlink" xfId="1" builtinId="8"/>
    <cellStyle name="Normal" xfId="0" builtinId="0"/>
  </cellStyles>
  <dxfs count="9"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>
          <bgColor rgb="FF00B05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FFFF"/>
      <color rgb="FFE8D8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9</xdr:col>
      <xdr:colOff>601914</xdr:colOff>
      <xdr:row>10</xdr:row>
      <xdr:rowOff>176606</xdr:rowOff>
    </xdr:from>
    <xdr:to>
      <xdr:col>13</xdr:col>
      <xdr:colOff>133829</xdr:colOff>
      <xdr:row>14</xdr:row>
      <xdr:rowOff>97459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632453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327659</xdr:colOff>
      <xdr:row>10</xdr:row>
      <xdr:rowOff>168985</xdr:rowOff>
    </xdr:from>
    <xdr:to>
      <xdr:col>16</xdr:col>
      <xdr:colOff>402066</xdr:colOff>
      <xdr:row>14</xdr:row>
      <xdr:rowOff>76200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8488679" y="202064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601979</xdr:colOff>
      <xdr:row>10</xdr:row>
      <xdr:rowOff>176605</xdr:rowOff>
    </xdr:from>
    <xdr:to>
      <xdr:col>19</xdr:col>
      <xdr:colOff>82026</xdr:colOff>
      <xdr:row>14</xdr:row>
      <xdr:rowOff>83820</xdr:rowOff>
    </xdr:to>
    <xdr:sp macro="[0]!show_create_product_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C0740DB-0252-4658-BA2D-D2C4DF372E6F}"/>
            </a:ext>
          </a:extLst>
        </xdr:cNvPr>
        <xdr:cNvSpPr/>
      </xdr:nvSpPr>
      <xdr:spPr>
        <a:xfrm>
          <a:off x="10591799" y="2028265"/>
          <a:ext cx="1903207" cy="63873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Create</a:t>
          </a:r>
          <a:r>
            <a:rPr lang="en-IN" sz="2400" b="1" baseline="0"/>
            <a:t> New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4CFC99-2616-452A-8BDC-4B4E10774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AA574-4EDE-4C6A-B6E3-0360C0818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  <xdr:twoCellAnchor>
    <xdr:from>
      <xdr:col>9</xdr:col>
      <xdr:colOff>601914</xdr:colOff>
      <xdr:row>10</xdr:row>
      <xdr:rowOff>176606</xdr:rowOff>
    </xdr:from>
    <xdr:to>
      <xdr:col>13</xdr:col>
      <xdr:colOff>133829</xdr:colOff>
      <xdr:row>14</xdr:row>
      <xdr:rowOff>97459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3AB5ED-AD9D-4D16-B6E1-6005E2707816}"/>
            </a:ext>
          </a:extLst>
        </xdr:cNvPr>
        <xdr:cNvSpPr/>
      </xdr:nvSpPr>
      <xdr:spPr>
        <a:xfrm>
          <a:off x="632453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327659</xdr:colOff>
      <xdr:row>10</xdr:row>
      <xdr:rowOff>168985</xdr:rowOff>
    </xdr:from>
    <xdr:to>
      <xdr:col>16</xdr:col>
      <xdr:colOff>402066</xdr:colOff>
      <xdr:row>14</xdr:row>
      <xdr:rowOff>76200</xdr:rowOff>
    </xdr:to>
    <xdr:sp macro="[0]!add_i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E580051-F94F-447D-A2F2-D7B8FF7F02FF}"/>
            </a:ext>
          </a:extLst>
        </xdr:cNvPr>
        <xdr:cNvSpPr/>
      </xdr:nvSpPr>
      <xdr:spPr>
        <a:xfrm>
          <a:off x="8488679" y="202064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601979</xdr:colOff>
      <xdr:row>10</xdr:row>
      <xdr:rowOff>176605</xdr:rowOff>
    </xdr:from>
    <xdr:to>
      <xdr:col>19</xdr:col>
      <xdr:colOff>82026</xdr:colOff>
      <xdr:row>14</xdr:row>
      <xdr:rowOff>83820</xdr:rowOff>
    </xdr:to>
    <xdr:sp macro="[0]!show_create_product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5A8E8CD-7467-472C-BE4F-A2C182DA40AA}"/>
            </a:ext>
          </a:extLst>
        </xdr:cNvPr>
        <xdr:cNvSpPr/>
      </xdr:nvSpPr>
      <xdr:spPr>
        <a:xfrm>
          <a:off x="10591799" y="2028265"/>
          <a:ext cx="1903207" cy="63873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Create</a:t>
          </a:r>
          <a:r>
            <a:rPr lang="en-IN" sz="2400" b="1" baseline="0"/>
            <a:t> New</a:t>
          </a:r>
          <a:endParaRPr lang="en-IN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aushadhalayajharkhand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aushadhalayajharkhand@gmail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aushadhalayajharkhan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43"/>
  <sheetViews>
    <sheetView showGridLines="0" tabSelected="1" zoomScaleNormal="100" workbookViewId="0">
      <selection activeCell="M20" sqref="M20:Q22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70" t="s">
        <v>0</v>
      </c>
      <c r="B1" s="71"/>
      <c r="C1" s="66" t="s">
        <v>1</v>
      </c>
      <c r="D1" s="66"/>
      <c r="E1" s="66"/>
      <c r="F1" s="66"/>
      <c r="G1" s="67"/>
      <c r="H1" s="62"/>
      <c r="I1" s="63"/>
    </row>
    <row r="2" spans="1:17" ht="15" customHeight="1" thickBot="1" x14ac:dyDescent="0.35">
      <c r="A2" s="72"/>
      <c r="B2" s="73"/>
      <c r="C2" s="68"/>
      <c r="D2" s="68"/>
      <c r="E2" s="68"/>
      <c r="F2" s="68"/>
      <c r="G2" s="69"/>
      <c r="H2" s="64"/>
      <c r="I2" s="65"/>
      <c r="J2" s="11"/>
      <c r="M2" s="52">
        <f>ALL_PRODUCTS!H7</f>
        <v>811</v>
      </c>
      <c r="N2" s="52"/>
      <c r="O2" s="52"/>
      <c r="P2" s="52"/>
      <c r="Q2" s="52"/>
    </row>
    <row r="3" spans="1:17" ht="15" thickTop="1" x14ac:dyDescent="0.3">
      <c r="C3" s="3"/>
      <c r="E3" s="3"/>
      <c r="F3" s="3"/>
      <c r="J3" s="11"/>
      <c r="M3" s="52"/>
      <c r="N3" s="52"/>
      <c r="O3" s="52"/>
      <c r="P3" s="52"/>
      <c r="Q3" s="52"/>
    </row>
    <row r="4" spans="1:17" x14ac:dyDescent="0.3">
      <c r="A4" s="33" t="s">
        <v>223</v>
      </c>
      <c r="B4" s="33"/>
      <c r="C4" s="33"/>
      <c r="G4" s="14" t="s">
        <v>107</v>
      </c>
      <c r="H4" s="55">
        <v>983515018</v>
      </c>
      <c r="I4" s="55"/>
      <c r="M4" s="52"/>
      <c r="N4" s="52"/>
      <c r="O4" s="52"/>
      <c r="P4" s="52"/>
      <c r="Q4" s="52"/>
    </row>
    <row r="5" spans="1:17" x14ac:dyDescent="0.3">
      <c r="A5" s="61" t="s">
        <v>104</v>
      </c>
      <c r="B5" s="61"/>
      <c r="C5" s="61"/>
      <c r="D5" s="61"/>
      <c r="G5" s="14" t="s">
        <v>108</v>
      </c>
      <c r="H5" s="55">
        <v>8084435969</v>
      </c>
      <c r="I5" s="55"/>
      <c r="M5" s="52"/>
      <c r="N5" s="52"/>
      <c r="O5" s="52"/>
      <c r="P5" s="52"/>
      <c r="Q5" s="52"/>
    </row>
    <row r="6" spans="1:17" x14ac:dyDescent="0.3">
      <c r="A6" s="61"/>
      <c r="B6" s="61"/>
      <c r="C6" s="61"/>
      <c r="D6" s="61"/>
      <c r="G6" s="14" t="s">
        <v>109</v>
      </c>
      <c r="H6" s="49" t="s">
        <v>242</v>
      </c>
      <c r="I6" s="49"/>
      <c r="M6" s="52"/>
      <c r="N6" s="52"/>
      <c r="O6" s="52"/>
      <c r="P6" s="52"/>
      <c r="Q6" s="52"/>
    </row>
    <row r="7" spans="1:17" x14ac:dyDescent="0.3">
      <c r="A7" s="61"/>
      <c r="B7" s="61"/>
      <c r="C7" s="61"/>
      <c r="D7" s="61"/>
      <c r="H7" s="49"/>
      <c r="I7" s="49"/>
      <c r="M7" s="51" t="s">
        <v>127</v>
      </c>
      <c r="N7" s="51"/>
      <c r="O7" s="51"/>
      <c r="P7" s="51"/>
      <c r="Q7" s="51"/>
    </row>
    <row r="8" spans="1:17" x14ac:dyDescent="0.3">
      <c r="A8" s="12"/>
      <c r="B8" s="12"/>
      <c r="C8" s="12"/>
      <c r="D8" s="12"/>
      <c r="G8" s="13" t="s">
        <v>105</v>
      </c>
      <c r="H8" s="59">
        <v>235</v>
      </c>
      <c r="I8" s="59"/>
      <c r="M8" s="51"/>
      <c r="N8" s="51"/>
      <c r="O8" s="51"/>
      <c r="P8" s="51"/>
      <c r="Q8" s="51"/>
    </row>
    <row r="9" spans="1:17" x14ac:dyDescent="0.3">
      <c r="A9" s="33" t="s">
        <v>221</v>
      </c>
      <c r="B9" s="33"/>
      <c r="G9" s="15" t="s">
        <v>106</v>
      </c>
      <c r="H9" s="47">
        <v>44321</v>
      </c>
      <c r="I9" s="48"/>
      <c r="M9" s="51"/>
      <c r="N9" s="51"/>
      <c r="O9" s="51"/>
      <c r="P9" s="51"/>
      <c r="Q9" s="51"/>
    </row>
    <row r="10" spans="1:17" x14ac:dyDescent="0.3">
      <c r="A10" s="32" t="s">
        <v>293</v>
      </c>
      <c r="B10" s="32"/>
      <c r="C10" s="32"/>
      <c r="M10" s="51"/>
      <c r="N10" s="51"/>
      <c r="O10" s="51"/>
      <c r="P10" s="51"/>
      <c r="Q10" s="51"/>
    </row>
    <row r="11" spans="1:17" x14ac:dyDescent="0.3">
      <c r="A11" s="46" t="s">
        <v>294</v>
      </c>
      <c r="B11" s="46"/>
      <c r="C11" s="46"/>
      <c r="D11" s="46"/>
      <c r="G11" s="14" t="s">
        <v>111</v>
      </c>
      <c r="H11" s="60" t="s">
        <v>112</v>
      </c>
      <c r="I11" s="60"/>
    </row>
    <row r="12" spans="1:17" x14ac:dyDescent="0.3">
      <c r="A12" s="46"/>
      <c r="B12" s="46"/>
      <c r="C12" s="46"/>
      <c r="D12" s="46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7</v>
      </c>
      <c r="B15" s="56" t="s">
        <v>8</v>
      </c>
      <c r="C15" s="57"/>
      <c r="D15" s="56" t="s">
        <v>239</v>
      </c>
      <c r="E15" s="57"/>
      <c r="F15" s="27" t="s">
        <v>2</v>
      </c>
      <c r="G15" s="28"/>
      <c r="H15" s="58" t="s">
        <v>240</v>
      </c>
      <c r="I15" s="57"/>
    </row>
    <row r="16" spans="1:17" s="31" customFormat="1" x14ac:dyDescent="0.3">
      <c r="A16" s="16">
        <v>14</v>
      </c>
      <c r="B16" s="16" t="s">
        <v>69</v>
      </c>
      <c r="C16" s="16"/>
      <c r="D16" s="16">
        <v>0</v>
      </c>
      <c r="E16" s="16"/>
      <c r="F16" s="16">
        <v>0</v>
      </c>
      <c r="G16" s="16"/>
      <c r="H16" s="16">
        <v>0</v>
      </c>
      <c r="I16" s="16"/>
    </row>
    <row r="17" spans="1:17" s="31" customFormat="1" x14ac:dyDescent="0.3">
      <c r="A17" s="16">
        <v>14</v>
      </c>
      <c r="B17" s="16" t="s">
        <v>69</v>
      </c>
      <c r="C17" s="16"/>
      <c r="D17" s="16">
        <v>0</v>
      </c>
      <c r="E17" s="16"/>
      <c r="F17" s="16">
        <v>0</v>
      </c>
      <c r="G17" s="16"/>
      <c r="H17" s="16">
        <v>0</v>
      </c>
      <c r="I17" s="16"/>
    </row>
    <row r="18" spans="1:17" x14ac:dyDescent="0.3">
      <c r="A18" s="19"/>
      <c r="B18" s="50" t="s">
        <v>241</v>
      </c>
      <c r="C18" s="50"/>
      <c r="D18" s="19"/>
      <c r="E18" s="19"/>
      <c r="F18" s="19"/>
      <c r="G18" s="19"/>
      <c r="H18" s="19">
        <v>0</v>
      </c>
      <c r="I18" s="19"/>
    </row>
    <row r="19" spans="1:17" x14ac:dyDescent="0.3">
      <c r="A19" s="16"/>
      <c r="B19" s="16"/>
      <c r="C19" s="16"/>
      <c r="D19" s="16"/>
      <c r="E19" s="16"/>
      <c r="F19" s="16"/>
      <c r="G19" s="16"/>
      <c r="H19" s="16"/>
      <c r="I19" s="16"/>
    </row>
    <row r="20" spans="1:17" x14ac:dyDescent="0.3">
      <c r="A20" s="16"/>
      <c r="B20" s="16"/>
      <c r="C20" s="16"/>
      <c r="D20" s="16"/>
      <c r="E20" s="16"/>
      <c r="F20" s="16"/>
    </row>
    <row r="21" spans="1:17" x14ac:dyDescent="0.3">
      <c r="F21" s="40" t="s">
        <v>124</v>
      </c>
      <c r="G21" s="41"/>
      <c r="H21" s="37">
        <v>0</v>
      </c>
      <c r="I21" s="37"/>
      <c r="M21" s="53"/>
      <c r="N21" s="53"/>
      <c r="O21" s="53"/>
      <c r="P21" s="53"/>
      <c r="Q21" s="53"/>
    </row>
    <row r="22" spans="1:17" x14ac:dyDescent="0.3">
      <c r="A22" s="34" t="s">
        <v>121</v>
      </c>
      <c r="B22" s="35"/>
      <c r="C22" s="36"/>
      <c r="D22" s="18" t="s">
        <v>110</v>
      </c>
      <c r="F22" s="42" t="s">
        <v>273</v>
      </c>
      <c r="G22" s="43"/>
      <c r="H22" s="38">
        <v>0</v>
      </c>
      <c r="I22" s="38"/>
      <c r="M22" s="53"/>
      <c r="N22" s="53"/>
      <c r="O22" s="53"/>
      <c r="P22" s="53"/>
      <c r="Q22" s="53"/>
    </row>
    <row r="23" spans="1:17" ht="23.4" x14ac:dyDescent="0.45">
      <c r="A23" s="33" t="s">
        <v>116</v>
      </c>
      <c r="B23" s="33"/>
      <c r="C23" s="33"/>
      <c r="F23" s="44" t="s">
        <v>238</v>
      </c>
      <c r="G23" s="45"/>
      <c r="H23" s="39">
        <v>0</v>
      </c>
      <c r="I23" s="39"/>
    </row>
    <row r="26" spans="1:17" x14ac:dyDescent="0.3">
      <c r="A26" s="33"/>
      <c r="B26" s="33"/>
      <c r="C26" s="33"/>
    </row>
    <row r="30" spans="1:17" x14ac:dyDescent="0.3">
      <c r="A30" s="54" t="s">
        <v>222</v>
      </c>
      <c r="B30" s="54"/>
      <c r="C30" s="54"/>
      <c r="D30" s="54"/>
      <c r="E30" s="54"/>
      <c r="F30" s="54"/>
      <c r="G30" s="54"/>
    </row>
    <row r="43" spans="1:9" x14ac:dyDescent="0.3">
      <c r="A43" s="32" t="s">
        <v>176</v>
      </c>
      <c r="B43" s="32"/>
      <c r="H43" s="32" t="s">
        <v>177</v>
      </c>
      <c r="I43" s="32"/>
    </row>
  </sheetData>
  <sheetProtection algorithmName="SHA-512" hashValue="ZOvm1aUPGq/MljhpYbriJzx4oGDCxBFxXVRAXw9DUuz0o2EUwQVLoxTEjc9LY7VuxA61K5xVd34SbA0n/ApWcA==" saltValue="7B5qUnq9/X3cE88EL6r1kA==" spinCount="100000" sheet="1" objects="1" scenarios="1"/>
  <customSheetViews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3">
    <mergeCell ref="B18:C18"/>
    <mergeCell ref="M7:Q10"/>
    <mergeCell ref="M2:Q6"/>
    <mergeCell ref="M21:Q22"/>
    <mergeCell ref="A30:G30"/>
    <mergeCell ref="H4:I4"/>
    <mergeCell ref="H5:I5"/>
    <mergeCell ref="B15:C15"/>
    <mergeCell ref="D15:E15"/>
    <mergeCell ref="H15:I15"/>
    <mergeCell ref="H8:I8"/>
    <mergeCell ref="H11:I11"/>
    <mergeCell ref="A5:D7"/>
    <mergeCell ref="H1:I2"/>
    <mergeCell ref="C1:G2"/>
    <mergeCell ref="A1:B2"/>
    <mergeCell ref="A11:D12"/>
    <mergeCell ref="A4:C4"/>
    <mergeCell ref="H9:I9"/>
    <mergeCell ref="A10:C10"/>
    <mergeCell ref="A9:B9"/>
    <mergeCell ref="H6:I7"/>
    <mergeCell ref="H21:I21"/>
    <mergeCell ref="H22:I22"/>
    <mergeCell ref="H23:I23"/>
    <mergeCell ref="F21:G21"/>
    <mergeCell ref="F22:G22"/>
    <mergeCell ref="F23:G23"/>
    <mergeCell ref="A43:B43"/>
    <mergeCell ref="H43:I43"/>
    <mergeCell ref="A26:C26"/>
    <mergeCell ref="A23:C23"/>
    <mergeCell ref="A22:C22"/>
  </mergeCells>
  <hyperlinks>
    <hyperlink ref="H6" r:id="rId4" xr:uid="{6632C543-7BED-4C9E-88BD-F5F8AFA4739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L51"/>
  <sheetViews>
    <sheetView zoomScaleNormal="100" workbookViewId="0">
      <pane ySplit="1" topLeftCell="A21" activePane="bottomLeft" state="frozen"/>
      <selection pane="bottomLeft" activeCell="D51" sqref="D51"/>
    </sheetView>
  </sheetViews>
  <sheetFormatPr defaultRowHeight="14.4" x14ac:dyDescent="0.3"/>
  <cols>
    <col min="1" max="1" width="8.88671875" style="8" customWidth="1"/>
    <col min="2" max="2" width="16.6640625" style="9" customWidth="1"/>
    <col min="3" max="3" width="18" style="8" customWidth="1"/>
    <col min="4" max="4" width="12.77734375" style="8" customWidth="1"/>
    <col min="5" max="5" width="12.21875" style="8" customWidth="1"/>
    <col min="6" max="6" width="37.33203125" style="8" bestFit="1" customWidth="1"/>
    <col min="7" max="7" width="16.5546875" style="8" bestFit="1" customWidth="1"/>
    <col min="8" max="8" width="18.21875" style="8" customWidth="1"/>
    <col min="9" max="9" width="13.109375" style="8" customWidth="1"/>
    <col min="10" max="10" width="10.5546875" style="8" customWidth="1"/>
    <col min="11" max="11" width="12.5546875" style="8" customWidth="1"/>
    <col min="12" max="12" width="14" style="8" customWidth="1"/>
  </cols>
  <sheetData>
    <row r="1" spans="1:12" ht="15.6" x14ac:dyDescent="0.3">
      <c r="A1" s="6" t="s">
        <v>4</v>
      </c>
      <c r="B1" s="7" t="s">
        <v>5</v>
      </c>
      <c r="C1" s="6" t="s">
        <v>3</v>
      </c>
      <c r="D1" s="6" t="s">
        <v>6</v>
      </c>
      <c r="E1" s="6" t="s">
        <v>101</v>
      </c>
      <c r="F1" s="6" t="s">
        <v>102</v>
      </c>
      <c r="G1" s="6" t="s">
        <v>120</v>
      </c>
      <c r="H1" s="6" t="s">
        <v>128</v>
      </c>
      <c r="I1" s="6" t="s">
        <v>103</v>
      </c>
      <c r="J1"/>
      <c r="K1"/>
      <c r="L1"/>
    </row>
    <row r="2" spans="1:12" x14ac:dyDescent="0.3">
      <c r="A2" s="8">
        <v>73</v>
      </c>
      <c r="B2" s="9">
        <v>184</v>
      </c>
      <c r="C2" s="8" t="s">
        <v>129</v>
      </c>
      <c r="D2" s="17">
        <v>44319</v>
      </c>
      <c r="E2" s="8">
        <v>135</v>
      </c>
      <c r="F2" s="8" t="s">
        <v>130</v>
      </c>
      <c r="G2" s="8" t="s">
        <v>131</v>
      </c>
      <c r="H2" s="8" t="s">
        <v>132</v>
      </c>
    </row>
    <row r="3" spans="1:12" x14ac:dyDescent="0.3">
      <c r="A3" s="8">
        <v>74</v>
      </c>
      <c r="B3" s="9">
        <v>185</v>
      </c>
      <c r="C3" s="8" t="s">
        <v>133</v>
      </c>
      <c r="D3" s="17">
        <v>44319</v>
      </c>
      <c r="E3" s="8">
        <v>180</v>
      </c>
      <c r="F3" s="8" t="s">
        <v>134</v>
      </c>
      <c r="G3" s="8" t="s">
        <v>135</v>
      </c>
      <c r="H3" s="8" t="s">
        <v>136</v>
      </c>
    </row>
    <row r="4" spans="1:12" x14ac:dyDescent="0.3">
      <c r="A4" s="8">
        <v>75</v>
      </c>
      <c r="B4" s="9">
        <v>186</v>
      </c>
      <c r="C4" s="8" t="s">
        <v>137</v>
      </c>
      <c r="D4" s="17">
        <v>44319</v>
      </c>
      <c r="E4" s="8">
        <v>90</v>
      </c>
      <c r="F4" s="8" t="s">
        <v>58</v>
      </c>
      <c r="G4" s="8" t="s">
        <v>138</v>
      </c>
      <c r="H4" s="8" t="s">
        <v>139</v>
      </c>
    </row>
    <row r="5" spans="1:12" x14ac:dyDescent="0.3">
      <c r="A5" s="8">
        <v>76</v>
      </c>
      <c r="B5" s="9">
        <v>187</v>
      </c>
      <c r="C5" s="8" t="s">
        <v>140</v>
      </c>
      <c r="D5" s="17">
        <v>44319</v>
      </c>
      <c r="E5" s="8">
        <v>625</v>
      </c>
      <c r="F5" s="8" t="s">
        <v>141</v>
      </c>
      <c r="G5" s="8" t="s">
        <v>123</v>
      </c>
      <c r="H5" s="8" t="s">
        <v>142</v>
      </c>
    </row>
    <row r="6" spans="1:12" x14ac:dyDescent="0.3">
      <c r="A6" s="8">
        <v>77</v>
      </c>
      <c r="B6" s="9">
        <v>189</v>
      </c>
      <c r="C6" s="8" t="s">
        <v>143</v>
      </c>
      <c r="D6" s="17">
        <v>44319</v>
      </c>
      <c r="E6" s="8">
        <v>545</v>
      </c>
      <c r="F6" s="8" t="s">
        <v>144</v>
      </c>
      <c r="G6" s="8" t="s">
        <v>125</v>
      </c>
      <c r="H6" s="8" t="s">
        <v>145</v>
      </c>
    </row>
    <row r="7" spans="1:12" x14ac:dyDescent="0.3">
      <c r="A7" s="8">
        <v>78</v>
      </c>
      <c r="B7" s="9">
        <v>190</v>
      </c>
      <c r="C7" s="8" t="s">
        <v>146</v>
      </c>
      <c r="D7" s="17">
        <v>44320</v>
      </c>
      <c r="E7" s="8">
        <v>225</v>
      </c>
      <c r="F7" s="8" t="s">
        <v>56</v>
      </c>
      <c r="G7" s="8" t="s">
        <v>123</v>
      </c>
      <c r="H7" s="8" t="s">
        <v>147</v>
      </c>
    </row>
    <row r="8" spans="1:12" x14ac:dyDescent="0.3">
      <c r="A8" s="8">
        <v>79</v>
      </c>
      <c r="B8" s="9">
        <v>191</v>
      </c>
      <c r="C8" s="8" t="s">
        <v>148</v>
      </c>
      <c r="D8" s="17">
        <v>44320</v>
      </c>
      <c r="E8" s="8">
        <v>2207</v>
      </c>
      <c r="F8" s="8" t="s">
        <v>149</v>
      </c>
      <c r="G8" s="8" t="s">
        <v>150</v>
      </c>
      <c r="H8" s="8" t="s">
        <v>151</v>
      </c>
    </row>
    <row r="9" spans="1:12" x14ac:dyDescent="0.3">
      <c r="A9" s="8">
        <v>80</v>
      </c>
      <c r="B9" s="9">
        <v>192</v>
      </c>
      <c r="C9" s="8" t="s">
        <v>117</v>
      </c>
      <c r="D9" s="17">
        <v>44320</v>
      </c>
      <c r="E9" s="8">
        <v>200</v>
      </c>
      <c r="F9" s="8" t="s">
        <v>56</v>
      </c>
      <c r="G9" s="8" t="s">
        <v>123</v>
      </c>
      <c r="H9" s="17">
        <v>44324</v>
      </c>
    </row>
    <row r="10" spans="1:12" x14ac:dyDescent="0.3">
      <c r="A10" s="8">
        <v>81</v>
      </c>
      <c r="B10" s="9">
        <v>193</v>
      </c>
      <c r="C10" s="8" t="s">
        <v>152</v>
      </c>
      <c r="D10" s="17">
        <v>44320</v>
      </c>
      <c r="E10" s="8">
        <v>135</v>
      </c>
      <c r="F10" s="8" t="s">
        <v>56</v>
      </c>
      <c r="G10" s="8" t="s">
        <v>153</v>
      </c>
      <c r="H10" s="8" t="s">
        <v>154</v>
      </c>
    </row>
    <row r="11" spans="1:12" x14ac:dyDescent="0.3">
      <c r="A11" s="8">
        <v>10</v>
      </c>
      <c r="B11" s="9">
        <v>194</v>
      </c>
      <c r="C11" s="8" t="s">
        <v>156</v>
      </c>
      <c r="D11" s="17">
        <v>44321</v>
      </c>
      <c r="E11" s="8">
        <v>5</v>
      </c>
      <c r="F11" s="8" t="s">
        <v>56</v>
      </c>
      <c r="G11" s="8" t="s">
        <v>157</v>
      </c>
      <c r="H11" s="8" t="s">
        <v>158</v>
      </c>
    </row>
    <row r="12" spans="1:12" x14ac:dyDescent="0.3">
      <c r="A12" s="8">
        <v>11</v>
      </c>
      <c r="B12" s="9">
        <v>195</v>
      </c>
      <c r="C12" s="8" t="s">
        <v>159</v>
      </c>
      <c r="D12" s="17">
        <v>44321</v>
      </c>
      <c r="E12" s="8">
        <v>88</v>
      </c>
      <c r="F12" s="8" t="s">
        <v>66</v>
      </c>
      <c r="G12" s="8" t="s">
        <v>150</v>
      </c>
      <c r="H12" s="8" t="s">
        <v>160</v>
      </c>
    </row>
    <row r="13" spans="1:12" x14ac:dyDescent="0.3">
      <c r="A13" s="8">
        <v>12</v>
      </c>
      <c r="B13" s="9">
        <v>196</v>
      </c>
      <c r="C13" s="8" t="s">
        <v>161</v>
      </c>
      <c r="D13" s="17">
        <v>44321</v>
      </c>
      <c r="E13" s="8">
        <v>20</v>
      </c>
      <c r="F13" s="8" t="s">
        <v>63</v>
      </c>
      <c r="G13" s="8" t="s">
        <v>162</v>
      </c>
      <c r="H13" s="8" t="s">
        <v>163</v>
      </c>
    </row>
    <row r="14" spans="1:12" x14ac:dyDescent="0.3">
      <c r="A14" s="8">
        <v>13</v>
      </c>
      <c r="B14" s="9">
        <v>197</v>
      </c>
      <c r="C14" s="8" t="s">
        <v>164</v>
      </c>
      <c r="D14" s="17">
        <v>44321</v>
      </c>
      <c r="E14" s="8">
        <v>4</v>
      </c>
      <c r="F14" s="8" t="s">
        <v>63</v>
      </c>
      <c r="G14" s="8" t="s">
        <v>162</v>
      </c>
      <c r="H14" s="8" t="s">
        <v>165</v>
      </c>
    </row>
    <row r="15" spans="1:12" x14ac:dyDescent="0.3">
      <c r="A15" s="8">
        <v>14</v>
      </c>
      <c r="B15" s="9">
        <v>198</v>
      </c>
      <c r="C15" s="8" t="s">
        <v>166</v>
      </c>
      <c r="D15" s="17">
        <v>44321</v>
      </c>
      <c r="E15" s="8">
        <v>8</v>
      </c>
      <c r="F15" s="8" t="s">
        <v>63</v>
      </c>
      <c r="G15" s="8" t="s">
        <v>154</v>
      </c>
      <c r="H15" s="8" t="s">
        <v>167</v>
      </c>
    </row>
    <row r="16" spans="1:12" x14ac:dyDescent="0.3">
      <c r="A16" s="8">
        <v>15</v>
      </c>
      <c r="B16" s="9">
        <v>199</v>
      </c>
      <c r="C16" s="8" t="s">
        <v>168</v>
      </c>
      <c r="D16" s="17">
        <v>44321</v>
      </c>
      <c r="E16" s="8">
        <v>20</v>
      </c>
      <c r="F16" s="8" t="s">
        <v>63</v>
      </c>
      <c r="G16" s="8" t="s">
        <v>169</v>
      </c>
      <c r="H16" s="8" t="s">
        <v>126</v>
      </c>
    </row>
    <row r="17" spans="1:8" x14ac:dyDescent="0.3">
      <c r="A17" s="8">
        <v>16</v>
      </c>
      <c r="B17" s="9">
        <v>200</v>
      </c>
      <c r="C17" s="8" t="s">
        <v>170</v>
      </c>
      <c r="D17" s="17">
        <v>44321</v>
      </c>
      <c r="E17" s="8">
        <v>4</v>
      </c>
      <c r="F17" s="8" t="s">
        <v>63</v>
      </c>
      <c r="G17" s="8" t="s">
        <v>171</v>
      </c>
      <c r="H17" s="8" t="s">
        <v>172</v>
      </c>
    </row>
    <row r="18" spans="1:8" x14ac:dyDescent="0.3">
      <c r="A18" s="8">
        <v>17</v>
      </c>
      <c r="B18" s="9">
        <v>201</v>
      </c>
      <c r="C18" s="8" t="s">
        <v>173</v>
      </c>
      <c r="D18" s="17">
        <v>44321</v>
      </c>
      <c r="E18" s="8">
        <v>1</v>
      </c>
      <c r="F18" s="8" t="s">
        <v>63</v>
      </c>
      <c r="G18" s="8" t="s">
        <v>174</v>
      </c>
      <c r="H18" s="8" t="s">
        <v>175</v>
      </c>
    </row>
    <row r="19" spans="1:8" x14ac:dyDescent="0.3">
      <c r="A19" s="8">
        <v>18</v>
      </c>
      <c r="B19" s="9">
        <v>202</v>
      </c>
      <c r="C19" s="8" t="s">
        <v>178</v>
      </c>
      <c r="D19" s="17">
        <v>44321</v>
      </c>
      <c r="E19" s="8">
        <v>44</v>
      </c>
      <c r="F19" s="8" t="s">
        <v>67</v>
      </c>
      <c r="G19" s="8" t="s">
        <v>123</v>
      </c>
      <c r="H19" s="8" t="s">
        <v>179</v>
      </c>
    </row>
    <row r="20" spans="1:8" x14ac:dyDescent="0.3">
      <c r="A20" s="8">
        <v>19</v>
      </c>
      <c r="B20" s="9">
        <v>203</v>
      </c>
      <c r="C20" s="8" t="s">
        <v>180</v>
      </c>
      <c r="D20" s="17">
        <v>44321</v>
      </c>
      <c r="E20" s="8">
        <v>110</v>
      </c>
      <c r="F20" s="8" t="s">
        <v>61</v>
      </c>
      <c r="G20" s="8" t="s">
        <v>181</v>
      </c>
      <c r="H20" s="8" t="s">
        <v>182</v>
      </c>
    </row>
    <row r="21" spans="1:8" x14ac:dyDescent="0.3">
      <c r="A21" s="8">
        <v>20</v>
      </c>
      <c r="B21" s="9">
        <v>204</v>
      </c>
      <c r="C21" s="8" t="s">
        <v>117</v>
      </c>
      <c r="D21" s="17">
        <v>44321</v>
      </c>
      <c r="E21" s="8">
        <v>22</v>
      </c>
      <c r="F21" s="8" t="s">
        <v>183</v>
      </c>
      <c r="G21" s="8" t="s">
        <v>184</v>
      </c>
      <c r="H21" s="8" t="s">
        <v>185</v>
      </c>
    </row>
    <row r="22" spans="1:8" x14ac:dyDescent="0.3">
      <c r="A22" s="8">
        <v>21</v>
      </c>
      <c r="B22" s="9">
        <v>205</v>
      </c>
      <c r="C22" s="8" t="s">
        <v>186</v>
      </c>
      <c r="D22" s="17">
        <v>44321</v>
      </c>
      <c r="E22" s="8">
        <v>135</v>
      </c>
      <c r="F22" s="8" t="s">
        <v>77</v>
      </c>
      <c r="G22" s="8" t="s">
        <v>187</v>
      </c>
      <c r="H22" s="8" t="s">
        <v>188</v>
      </c>
    </row>
    <row r="23" spans="1:8" x14ac:dyDescent="0.3">
      <c r="A23" s="8">
        <v>22</v>
      </c>
      <c r="B23" s="9">
        <v>206</v>
      </c>
      <c r="C23" s="8" t="s">
        <v>189</v>
      </c>
      <c r="D23" s="17">
        <v>44321</v>
      </c>
      <c r="E23" s="8">
        <v>12</v>
      </c>
      <c r="F23" s="8" t="s">
        <v>76</v>
      </c>
      <c r="G23" s="8" t="s">
        <v>190</v>
      </c>
      <c r="H23" s="8" t="s">
        <v>191</v>
      </c>
    </row>
    <row r="24" spans="1:8" x14ac:dyDescent="0.3">
      <c r="A24" s="8">
        <v>23</v>
      </c>
      <c r="B24" s="9">
        <v>207</v>
      </c>
      <c r="C24" s="8" t="s">
        <v>192</v>
      </c>
      <c r="D24" s="17">
        <v>44321</v>
      </c>
      <c r="E24" s="8">
        <v>8</v>
      </c>
      <c r="F24" s="8" t="s">
        <v>65</v>
      </c>
      <c r="G24" s="8" t="s">
        <v>193</v>
      </c>
      <c r="H24" s="8" t="s">
        <v>154</v>
      </c>
    </row>
    <row r="25" spans="1:8" x14ac:dyDescent="0.3">
      <c r="A25" s="8">
        <v>24</v>
      </c>
      <c r="B25" s="9">
        <v>208</v>
      </c>
      <c r="C25" s="8" t="s">
        <v>194</v>
      </c>
      <c r="D25" s="17">
        <v>44321</v>
      </c>
      <c r="E25" s="8">
        <v>17</v>
      </c>
      <c r="F25" s="8" t="s">
        <v>195</v>
      </c>
      <c r="G25" s="8" t="s">
        <v>196</v>
      </c>
      <c r="H25" s="8" t="s">
        <v>197</v>
      </c>
    </row>
    <row r="26" spans="1:8" x14ac:dyDescent="0.3">
      <c r="A26" s="8">
        <v>25</v>
      </c>
      <c r="B26" s="9">
        <v>209</v>
      </c>
      <c r="C26" s="8" t="s">
        <v>198</v>
      </c>
      <c r="D26" s="17">
        <v>44321</v>
      </c>
      <c r="E26" s="8">
        <v>16</v>
      </c>
      <c r="F26" s="8" t="s">
        <v>99</v>
      </c>
      <c r="G26" s="8" t="s">
        <v>199</v>
      </c>
      <c r="H26" s="8" t="s">
        <v>184</v>
      </c>
    </row>
    <row r="27" spans="1:8" x14ac:dyDescent="0.3">
      <c r="A27" s="8">
        <v>26</v>
      </c>
      <c r="B27" s="9">
        <v>210</v>
      </c>
      <c r="C27" s="8" t="s">
        <v>200</v>
      </c>
      <c r="D27" s="17">
        <v>44321</v>
      </c>
      <c r="E27" s="8">
        <v>4</v>
      </c>
      <c r="F27" s="8" t="s">
        <v>94</v>
      </c>
      <c r="G27" s="8" t="s">
        <v>201</v>
      </c>
      <c r="H27" s="8" t="s">
        <v>202</v>
      </c>
    </row>
    <row r="28" spans="1:8" x14ac:dyDescent="0.3">
      <c r="A28" s="8">
        <v>27</v>
      </c>
      <c r="B28" s="9">
        <v>211</v>
      </c>
      <c r="C28" s="8" t="s">
        <v>203</v>
      </c>
      <c r="D28" s="17">
        <v>44321</v>
      </c>
      <c r="E28" s="8">
        <v>1</v>
      </c>
      <c r="F28" s="8" t="s">
        <v>58</v>
      </c>
      <c r="G28" s="8" t="s">
        <v>204</v>
      </c>
      <c r="H28" s="8" t="s">
        <v>205</v>
      </c>
    </row>
    <row r="29" spans="1:8" x14ac:dyDescent="0.3">
      <c r="A29" s="8">
        <v>28</v>
      </c>
      <c r="B29" s="9">
        <v>212</v>
      </c>
      <c r="C29" s="8" t="s">
        <v>206</v>
      </c>
      <c r="D29" s="17">
        <v>44321</v>
      </c>
      <c r="E29" s="8">
        <v>36</v>
      </c>
      <c r="F29" s="8" t="s">
        <v>207</v>
      </c>
      <c r="G29" s="8" t="s">
        <v>159</v>
      </c>
      <c r="H29" s="8" t="s">
        <v>147</v>
      </c>
    </row>
    <row r="30" spans="1:8" x14ac:dyDescent="0.3">
      <c r="A30" s="8">
        <v>29</v>
      </c>
      <c r="B30" s="9">
        <v>214</v>
      </c>
      <c r="C30" s="8" t="s">
        <v>208</v>
      </c>
      <c r="D30" s="17">
        <v>44321</v>
      </c>
      <c r="E30" s="8">
        <v>16</v>
      </c>
      <c r="F30" s="8" t="s">
        <v>76</v>
      </c>
      <c r="G30" s="8" t="s">
        <v>209</v>
      </c>
      <c r="H30" s="8" t="s">
        <v>210</v>
      </c>
    </row>
    <row r="31" spans="1:8" x14ac:dyDescent="0.3">
      <c r="A31" s="8">
        <v>30</v>
      </c>
      <c r="B31" s="9">
        <v>215</v>
      </c>
      <c r="C31" s="8" t="s">
        <v>211</v>
      </c>
      <c r="D31" s="17">
        <v>44321</v>
      </c>
      <c r="E31" s="8">
        <v>16</v>
      </c>
      <c r="F31" s="8" t="s">
        <v>93</v>
      </c>
      <c r="G31" s="8" t="s">
        <v>212</v>
      </c>
      <c r="H31" s="8" t="s">
        <v>213</v>
      </c>
    </row>
    <row r="32" spans="1:8" x14ac:dyDescent="0.3">
      <c r="A32" s="8">
        <v>31</v>
      </c>
      <c r="B32" s="9">
        <v>216</v>
      </c>
      <c r="C32" s="8" t="s">
        <v>214</v>
      </c>
      <c r="D32" s="17">
        <v>44321</v>
      </c>
      <c r="E32" s="8">
        <v>16</v>
      </c>
      <c r="F32" s="8" t="s">
        <v>100</v>
      </c>
      <c r="G32" s="8" t="s">
        <v>215</v>
      </c>
      <c r="H32" s="8" t="s">
        <v>216</v>
      </c>
    </row>
    <row r="33" spans="1:8" x14ac:dyDescent="0.3">
      <c r="A33" s="8">
        <v>32</v>
      </c>
      <c r="B33" s="9">
        <v>217</v>
      </c>
      <c r="C33" s="8" t="s">
        <v>217</v>
      </c>
      <c r="D33" s="17">
        <v>44321</v>
      </c>
      <c r="E33" s="8">
        <v>42</v>
      </c>
      <c r="F33" s="8" t="s">
        <v>92</v>
      </c>
      <c r="G33" s="8" t="s">
        <v>126</v>
      </c>
      <c r="H33" s="8" t="s">
        <v>218</v>
      </c>
    </row>
    <row r="34" spans="1:8" x14ac:dyDescent="0.3">
      <c r="A34" s="8">
        <v>33</v>
      </c>
      <c r="B34" s="9">
        <v>218</v>
      </c>
      <c r="C34" s="8" t="s">
        <v>219</v>
      </c>
      <c r="D34" s="17">
        <v>44321</v>
      </c>
      <c r="E34" s="8">
        <v>20</v>
      </c>
      <c r="F34" s="8" t="s">
        <v>87</v>
      </c>
      <c r="G34" s="8" t="s">
        <v>215</v>
      </c>
      <c r="H34" s="8" t="s">
        <v>220</v>
      </c>
    </row>
    <row r="35" spans="1:8" x14ac:dyDescent="0.3">
      <c r="A35" s="8">
        <v>34</v>
      </c>
      <c r="B35" s="9">
        <v>219</v>
      </c>
      <c r="C35" s="8" t="s">
        <v>224</v>
      </c>
      <c r="D35" s="17">
        <v>44321</v>
      </c>
      <c r="E35" s="8">
        <v>1125</v>
      </c>
      <c r="F35" s="8" t="s">
        <v>56</v>
      </c>
      <c r="G35" s="8" t="s">
        <v>226</v>
      </c>
      <c r="H35" s="8" t="s">
        <v>227</v>
      </c>
    </row>
    <row r="36" spans="1:8" x14ac:dyDescent="0.3">
      <c r="A36" s="8">
        <v>35</v>
      </c>
      <c r="B36" s="9">
        <v>220</v>
      </c>
      <c r="C36" s="8" t="s">
        <v>228</v>
      </c>
      <c r="D36" s="17">
        <v>44321</v>
      </c>
      <c r="E36" s="8">
        <v>40</v>
      </c>
      <c r="F36" s="8" t="s">
        <v>56</v>
      </c>
      <c r="G36" s="8" t="s">
        <v>229</v>
      </c>
      <c r="H36" s="8" t="s">
        <v>230</v>
      </c>
    </row>
    <row r="37" spans="1:8" x14ac:dyDescent="0.3">
      <c r="A37" s="8">
        <v>36</v>
      </c>
      <c r="B37" s="9">
        <v>221</v>
      </c>
      <c r="C37" s="8" t="s">
        <v>231</v>
      </c>
      <c r="D37" s="17">
        <v>44322</v>
      </c>
      <c r="E37" s="8">
        <v>16</v>
      </c>
      <c r="F37" s="8" t="s">
        <v>56</v>
      </c>
      <c r="G37" s="8" t="s">
        <v>232</v>
      </c>
      <c r="H37" s="8" t="s">
        <v>233</v>
      </c>
    </row>
    <row r="38" spans="1:8" x14ac:dyDescent="0.3">
      <c r="A38" s="8">
        <v>37</v>
      </c>
      <c r="B38" s="9">
        <v>222</v>
      </c>
      <c r="C38" s="8" t="s">
        <v>234</v>
      </c>
      <c r="D38" s="17">
        <v>44322</v>
      </c>
      <c r="E38" s="8">
        <v>16</v>
      </c>
      <c r="F38" s="8" t="s">
        <v>56</v>
      </c>
      <c r="G38" s="8" t="s">
        <v>236</v>
      </c>
      <c r="H38" s="8" t="s">
        <v>237</v>
      </c>
    </row>
    <row r="39" spans="1:8" x14ac:dyDescent="0.3">
      <c r="A39" s="8">
        <v>38</v>
      </c>
      <c r="B39" s="9">
        <v>223</v>
      </c>
      <c r="C39" s="8" t="s">
        <v>243</v>
      </c>
      <c r="D39" s="17">
        <v>44322</v>
      </c>
      <c r="E39" s="8">
        <v>155</v>
      </c>
      <c r="F39" s="8" t="s">
        <v>56</v>
      </c>
      <c r="G39" s="8" t="s">
        <v>123</v>
      </c>
      <c r="H39" s="8" t="s">
        <v>244</v>
      </c>
    </row>
    <row r="40" spans="1:8" x14ac:dyDescent="0.3">
      <c r="A40" s="8">
        <v>39</v>
      </c>
      <c r="B40" s="9">
        <v>224</v>
      </c>
      <c r="C40" s="8" t="s">
        <v>245</v>
      </c>
      <c r="D40" s="17">
        <v>44322</v>
      </c>
      <c r="E40" s="8">
        <v>0</v>
      </c>
      <c r="F40" s="8" t="s">
        <v>57</v>
      </c>
      <c r="G40" s="8" t="s">
        <v>246</v>
      </c>
      <c r="H40" s="8" t="s">
        <v>247</v>
      </c>
    </row>
    <row r="41" spans="1:8" x14ac:dyDescent="0.3">
      <c r="A41" s="8">
        <v>40</v>
      </c>
      <c r="B41" s="9">
        <v>225</v>
      </c>
      <c r="C41" s="8" t="s">
        <v>234</v>
      </c>
      <c r="D41" s="17">
        <v>44322</v>
      </c>
      <c r="E41" s="8">
        <v>24</v>
      </c>
      <c r="F41" s="8" t="s">
        <v>58</v>
      </c>
      <c r="G41" s="8" t="s">
        <v>248</v>
      </c>
      <c r="H41" s="8" t="s">
        <v>249</v>
      </c>
    </row>
    <row r="42" spans="1:8" x14ac:dyDescent="0.3">
      <c r="A42" s="8">
        <v>41</v>
      </c>
      <c r="B42" s="9">
        <v>226</v>
      </c>
      <c r="C42" s="8" t="s">
        <v>234</v>
      </c>
      <c r="D42" s="17">
        <v>44322</v>
      </c>
      <c r="E42" s="8">
        <v>10</v>
      </c>
      <c r="F42" s="8" t="s">
        <v>58</v>
      </c>
      <c r="G42" s="8" t="s">
        <v>250</v>
      </c>
      <c r="H42" s="8" t="s">
        <v>251</v>
      </c>
    </row>
    <row r="43" spans="1:8" x14ac:dyDescent="0.3">
      <c r="A43" s="8">
        <v>42</v>
      </c>
      <c r="B43" s="9">
        <v>227</v>
      </c>
      <c r="C43" s="8" t="s">
        <v>252</v>
      </c>
      <c r="D43" s="17">
        <v>44322</v>
      </c>
      <c r="E43" s="8">
        <v>320</v>
      </c>
      <c r="F43" s="8" t="s">
        <v>58</v>
      </c>
      <c r="G43" s="8" t="s">
        <v>255</v>
      </c>
      <c r="H43" s="8" t="s">
        <v>256</v>
      </c>
    </row>
    <row r="44" spans="1:8" x14ac:dyDescent="0.3">
      <c r="A44" s="8">
        <v>43</v>
      </c>
      <c r="B44" s="9">
        <v>228</v>
      </c>
      <c r="C44" s="8" t="s">
        <v>268</v>
      </c>
      <c r="D44" s="17">
        <v>44323</v>
      </c>
      <c r="E44" s="8">
        <v>13.3</v>
      </c>
      <c r="F44" s="8" t="s">
        <v>269</v>
      </c>
      <c r="G44" s="8" t="s">
        <v>123</v>
      </c>
      <c r="H44" s="8" t="s">
        <v>270</v>
      </c>
    </row>
    <row r="45" spans="1:8" x14ac:dyDescent="0.3">
      <c r="A45" s="8">
        <v>44</v>
      </c>
      <c r="B45" s="9">
        <v>229</v>
      </c>
      <c r="C45" s="8" t="s">
        <v>224</v>
      </c>
      <c r="D45" s="17">
        <v>44324</v>
      </c>
      <c r="E45" s="8">
        <v>27</v>
      </c>
      <c r="F45" s="8" t="s">
        <v>274</v>
      </c>
      <c r="G45" s="8" t="s">
        <v>275</v>
      </c>
      <c r="H45" s="8" t="s">
        <v>276</v>
      </c>
    </row>
    <row r="46" spans="1:8" x14ac:dyDescent="0.3">
      <c r="A46" s="8">
        <v>45</v>
      </c>
      <c r="B46" s="9">
        <v>230</v>
      </c>
      <c r="C46" s="8" t="s">
        <v>259</v>
      </c>
      <c r="D46" s="17">
        <v>44324</v>
      </c>
      <c r="E46" s="8">
        <v>0</v>
      </c>
      <c r="F46" s="8" t="s">
        <v>277</v>
      </c>
      <c r="G46" s="8" t="s">
        <v>278</v>
      </c>
      <c r="H46" s="8" t="s">
        <v>279</v>
      </c>
    </row>
    <row r="47" spans="1:8" x14ac:dyDescent="0.3">
      <c r="A47" s="8">
        <v>46</v>
      </c>
      <c r="B47" s="9">
        <v>231</v>
      </c>
      <c r="C47" s="8" t="s">
        <v>280</v>
      </c>
      <c r="D47" s="17">
        <v>44324</v>
      </c>
      <c r="E47" s="8">
        <v>19</v>
      </c>
      <c r="F47" s="8" t="s">
        <v>69</v>
      </c>
      <c r="G47" s="8" t="s">
        <v>281</v>
      </c>
      <c r="H47" s="8" t="s">
        <v>282</v>
      </c>
    </row>
    <row r="48" spans="1:8" x14ac:dyDescent="0.3">
      <c r="A48" s="8">
        <v>47</v>
      </c>
      <c r="B48" s="9">
        <v>232</v>
      </c>
      <c r="C48" s="8" t="s">
        <v>283</v>
      </c>
      <c r="D48" s="17">
        <v>44324</v>
      </c>
      <c r="E48" s="8">
        <v>25</v>
      </c>
      <c r="F48" s="8" t="s">
        <v>284</v>
      </c>
      <c r="G48" s="8" t="s">
        <v>285</v>
      </c>
      <c r="H48" s="8" t="s">
        <v>286</v>
      </c>
    </row>
    <row r="49" spans="1:8" x14ac:dyDescent="0.3">
      <c r="A49" s="8">
        <v>48</v>
      </c>
      <c r="B49" s="9">
        <v>233</v>
      </c>
      <c r="C49" s="8" t="s">
        <v>287</v>
      </c>
      <c r="D49" s="17">
        <v>44324</v>
      </c>
      <c r="E49" s="8">
        <v>0</v>
      </c>
      <c r="F49" s="8" t="s">
        <v>284</v>
      </c>
      <c r="G49" s="8" t="s">
        <v>288</v>
      </c>
      <c r="H49" s="8" t="s">
        <v>289</v>
      </c>
    </row>
    <row r="50" spans="1:8" x14ac:dyDescent="0.3">
      <c r="A50" s="8">
        <v>49</v>
      </c>
      <c r="B50" s="9">
        <v>234</v>
      </c>
      <c r="C50" s="8" t="s">
        <v>290</v>
      </c>
      <c r="D50" s="17">
        <v>44324</v>
      </c>
      <c r="E50" s="8">
        <v>0</v>
      </c>
      <c r="F50" s="8" t="s">
        <v>284</v>
      </c>
      <c r="G50" s="8" t="s">
        <v>291</v>
      </c>
      <c r="H50" s="8" t="s">
        <v>292</v>
      </c>
    </row>
    <row r="51" spans="1:8" x14ac:dyDescent="0.3">
      <c r="A51" s="8">
        <v>50</v>
      </c>
      <c r="B51" s="9">
        <v>235</v>
      </c>
      <c r="C51" s="8" t="s">
        <v>293</v>
      </c>
      <c r="D51" s="17">
        <v>44324</v>
      </c>
      <c r="E51" s="8">
        <v>0</v>
      </c>
      <c r="F51" s="8" t="s">
        <v>284</v>
      </c>
      <c r="G51" s="8" t="s">
        <v>295</v>
      </c>
      <c r="H51" s="8" t="s">
        <v>296</v>
      </c>
    </row>
  </sheetData>
  <sheetProtection algorithmName="SHA-512" hashValue="c2vmsVop/UmwiCn2hCKa/RXeTXI5v3FwTU/soJndehrwpXrnZyWASsH05gNsU0p1n10FB6wQRrE+jMPvxUuC8w==" saltValue="/Q8deCm4z8PZZyv18qGMbg==" spinCount="100000" sheet="1" objects="1" scenarios="1"/>
  <customSheetViews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3"/>
    </customSheetView>
  </customSheetViews>
  <conditionalFormatting sqref="D1:D1048576">
    <cfRule type="timePeriod" dxfId="8" priority="1" timePeriod="today">
      <formula>FLOOR(D1,1)=TODAY()</formula>
    </cfRule>
    <cfRule type="timePeriod" dxfId="7" priority="2" timePeriod="today">
      <formula>FLOOR(D1,1)=TODAY()</formula>
    </cfRule>
    <cfRule type="timePeriod" dxfId="6" priority="3" timePeriod="today">
      <formula>FLOOR(D1,1)=TODAY()</formula>
    </cfRule>
  </conditionalFormatting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topLeftCell="A31" zoomScaleNormal="100" workbookViewId="0">
      <selection activeCell="I51" sqref="I51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style="1" customWidth="1"/>
  </cols>
  <sheetData>
    <row r="1" spans="1:12" ht="15.6" x14ac:dyDescent="0.3">
      <c r="A1" s="2" t="s">
        <v>257</v>
      </c>
      <c r="B1" s="2" t="s">
        <v>10</v>
      </c>
      <c r="C1" s="2" t="s">
        <v>119</v>
      </c>
    </row>
    <row r="2" spans="1:12" x14ac:dyDescent="0.3">
      <c r="A2" s="5" t="s">
        <v>11</v>
      </c>
      <c r="B2" s="1" t="s">
        <v>56</v>
      </c>
      <c r="C2" s="1">
        <v>0</v>
      </c>
    </row>
    <row r="3" spans="1:12" x14ac:dyDescent="0.3">
      <c r="A3" s="5" t="s">
        <v>12</v>
      </c>
      <c r="B3" s="1" t="s">
        <v>57</v>
      </c>
      <c r="C3" s="1">
        <v>0</v>
      </c>
    </row>
    <row r="4" spans="1:12" x14ac:dyDescent="0.3">
      <c r="A4" s="5" t="s">
        <v>13</v>
      </c>
      <c r="B4" s="1" t="s">
        <v>58</v>
      </c>
      <c r="C4" s="1">
        <v>10</v>
      </c>
    </row>
    <row r="5" spans="1:12" x14ac:dyDescent="0.3">
      <c r="A5" s="5" t="s">
        <v>14</v>
      </c>
      <c r="B5" s="1" t="s">
        <v>59</v>
      </c>
      <c r="C5" s="1">
        <v>0</v>
      </c>
    </row>
    <row r="6" spans="1:12" x14ac:dyDescent="0.3">
      <c r="A6" s="5" t="s">
        <v>15</v>
      </c>
      <c r="B6" s="1" t="s">
        <v>60</v>
      </c>
      <c r="C6" s="1">
        <v>12</v>
      </c>
    </row>
    <row r="7" spans="1:12" x14ac:dyDescent="0.3">
      <c r="A7" s="5" t="s">
        <v>16</v>
      </c>
      <c r="B7" s="1" t="s">
        <v>61</v>
      </c>
      <c r="C7" s="1">
        <v>0</v>
      </c>
      <c r="H7" s="75">
        <f>SUM(C:C)</f>
        <v>811</v>
      </c>
      <c r="I7" s="75"/>
      <c r="J7" s="75"/>
      <c r="K7" s="75"/>
      <c r="L7" s="75"/>
    </row>
    <row r="8" spans="1:12" x14ac:dyDescent="0.3">
      <c r="A8" s="5" t="s">
        <v>17</v>
      </c>
      <c r="B8" s="1" t="s">
        <v>62</v>
      </c>
      <c r="C8" s="1">
        <v>4</v>
      </c>
      <c r="H8" s="75"/>
      <c r="I8" s="75"/>
      <c r="J8" s="75"/>
      <c r="K8" s="75"/>
      <c r="L8" s="75"/>
    </row>
    <row r="9" spans="1:12" x14ac:dyDescent="0.3">
      <c r="A9" s="5" t="s">
        <v>18</v>
      </c>
      <c r="B9" s="1" t="s">
        <v>63</v>
      </c>
      <c r="C9" s="1">
        <v>0</v>
      </c>
      <c r="H9" s="75"/>
      <c r="I9" s="75"/>
      <c r="J9" s="75"/>
      <c r="K9" s="75"/>
      <c r="L9" s="75"/>
    </row>
    <row r="10" spans="1:12" x14ac:dyDescent="0.3">
      <c r="A10" s="5" t="s">
        <v>19</v>
      </c>
      <c r="B10" s="1" t="s">
        <v>65</v>
      </c>
      <c r="C10" s="1">
        <v>10</v>
      </c>
    </row>
    <row r="11" spans="1:12" x14ac:dyDescent="0.3">
      <c r="A11" s="5" t="s">
        <v>20</v>
      </c>
      <c r="B11" s="1" t="s">
        <v>66</v>
      </c>
      <c r="C11" s="1">
        <v>1</v>
      </c>
      <c r="H11" s="74" t="s">
        <v>118</v>
      </c>
      <c r="I11" s="74"/>
      <c r="J11" s="74"/>
      <c r="K11" s="74"/>
      <c r="L11" s="74"/>
    </row>
    <row r="12" spans="1:12" x14ac:dyDescent="0.3">
      <c r="A12" s="5" t="s">
        <v>21</v>
      </c>
      <c r="B12" s="1" t="s">
        <v>64</v>
      </c>
      <c r="C12" s="1">
        <v>11</v>
      </c>
      <c r="H12" s="74"/>
      <c r="I12" s="74"/>
      <c r="J12" s="74"/>
      <c r="K12" s="74"/>
      <c r="L12" s="74"/>
    </row>
    <row r="13" spans="1:12" x14ac:dyDescent="0.3">
      <c r="A13" s="5" t="s">
        <v>22</v>
      </c>
      <c r="B13" s="1" t="s">
        <v>67</v>
      </c>
      <c r="C13" s="1">
        <v>1</v>
      </c>
      <c r="H13" s="74"/>
      <c r="I13" s="74"/>
      <c r="J13" s="74"/>
      <c r="K13" s="74"/>
      <c r="L13" s="74"/>
    </row>
    <row r="14" spans="1:12" x14ac:dyDescent="0.3">
      <c r="A14" s="5" t="s">
        <v>23</v>
      </c>
      <c r="B14" s="1" t="s">
        <v>68</v>
      </c>
      <c r="C14" s="1">
        <v>13</v>
      </c>
    </row>
    <row r="15" spans="1:12" x14ac:dyDescent="0.3">
      <c r="A15" s="5" t="s">
        <v>24</v>
      </c>
      <c r="B15" s="1" t="s">
        <v>69</v>
      </c>
      <c r="C15" s="1">
        <v>15</v>
      </c>
    </row>
    <row r="16" spans="1:12" x14ac:dyDescent="0.3">
      <c r="A16" s="5" t="s">
        <v>25</v>
      </c>
      <c r="B16" s="1" t="s">
        <v>70</v>
      </c>
      <c r="C16" s="1">
        <v>25</v>
      </c>
    </row>
    <row r="17" spans="1:3" x14ac:dyDescent="0.3">
      <c r="A17" s="5" t="s">
        <v>26</v>
      </c>
      <c r="B17" s="1" t="s">
        <v>80</v>
      </c>
      <c r="C17" s="1">
        <v>25</v>
      </c>
    </row>
    <row r="18" spans="1:3" x14ac:dyDescent="0.3">
      <c r="A18" s="5" t="s">
        <v>27</v>
      </c>
      <c r="B18" s="1" t="s">
        <v>71</v>
      </c>
      <c r="C18" s="1">
        <v>25</v>
      </c>
    </row>
    <row r="19" spans="1:3" x14ac:dyDescent="0.3">
      <c r="A19" s="5" t="s">
        <v>28</v>
      </c>
      <c r="B19" s="1" t="s">
        <v>72</v>
      </c>
      <c r="C19" s="1">
        <v>25</v>
      </c>
    </row>
    <row r="20" spans="1:3" x14ac:dyDescent="0.3">
      <c r="A20" s="5" t="s">
        <v>29</v>
      </c>
      <c r="B20" s="1" t="s">
        <v>73</v>
      </c>
      <c r="C20" s="1">
        <v>25</v>
      </c>
    </row>
    <row r="21" spans="1:3" x14ac:dyDescent="0.3">
      <c r="A21" s="5" t="s">
        <v>30</v>
      </c>
      <c r="B21" s="1" t="s">
        <v>74</v>
      </c>
      <c r="C21" s="1">
        <v>20</v>
      </c>
    </row>
    <row r="22" spans="1:3" x14ac:dyDescent="0.3">
      <c r="A22" s="5" t="s">
        <v>31</v>
      </c>
      <c r="B22" s="1" t="s">
        <v>75</v>
      </c>
      <c r="C22" s="1">
        <v>0</v>
      </c>
    </row>
    <row r="23" spans="1:3" x14ac:dyDescent="0.3">
      <c r="A23" s="5" t="s">
        <v>32</v>
      </c>
      <c r="B23" s="1" t="s">
        <v>76</v>
      </c>
      <c r="C23" s="1">
        <v>3</v>
      </c>
    </row>
    <row r="24" spans="1:3" x14ac:dyDescent="0.3">
      <c r="A24" s="5" t="s">
        <v>33</v>
      </c>
      <c r="B24" s="1" t="s">
        <v>77</v>
      </c>
      <c r="C24" s="1">
        <v>1</v>
      </c>
    </row>
    <row r="25" spans="1:3" x14ac:dyDescent="0.3">
      <c r="A25" s="5" t="s">
        <v>34</v>
      </c>
      <c r="B25" s="1" t="s">
        <v>78</v>
      </c>
      <c r="C25" s="1">
        <v>25</v>
      </c>
    </row>
    <row r="26" spans="1:3" x14ac:dyDescent="0.3">
      <c r="A26" s="5" t="s">
        <v>35</v>
      </c>
      <c r="B26" s="1" t="s">
        <v>79</v>
      </c>
      <c r="C26" s="1">
        <v>12</v>
      </c>
    </row>
    <row r="27" spans="1:3" x14ac:dyDescent="0.3">
      <c r="A27" s="5" t="s">
        <v>36</v>
      </c>
      <c r="B27" s="1" t="s">
        <v>100</v>
      </c>
      <c r="C27" s="1">
        <v>6</v>
      </c>
    </row>
    <row r="28" spans="1:3" x14ac:dyDescent="0.3">
      <c r="A28" s="5" t="s">
        <v>37</v>
      </c>
      <c r="B28" s="1" t="s">
        <v>81</v>
      </c>
      <c r="C28" s="1">
        <v>5</v>
      </c>
    </row>
    <row r="29" spans="1:3" x14ac:dyDescent="0.3">
      <c r="A29" s="5" t="s">
        <v>38</v>
      </c>
      <c r="B29" s="1" t="s">
        <v>82</v>
      </c>
      <c r="C29" s="1">
        <v>25</v>
      </c>
    </row>
    <row r="30" spans="1:3" x14ac:dyDescent="0.3">
      <c r="A30" s="5" t="s">
        <v>39</v>
      </c>
      <c r="B30" s="1" t="s">
        <v>83</v>
      </c>
      <c r="C30" s="1">
        <v>25</v>
      </c>
    </row>
    <row r="31" spans="1:3" x14ac:dyDescent="0.3">
      <c r="A31" s="5" t="s">
        <v>40</v>
      </c>
      <c r="B31" s="1" t="s">
        <v>84</v>
      </c>
      <c r="C31" s="1">
        <v>25</v>
      </c>
    </row>
    <row r="32" spans="1:3" x14ac:dyDescent="0.3">
      <c r="A32" s="5" t="s">
        <v>41</v>
      </c>
      <c r="B32" s="1" t="s">
        <v>85</v>
      </c>
      <c r="C32" s="1">
        <v>25</v>
      </c>
    </row>
    <row r="33" spans="1:3" x14ac:dyDescent="0.3">
      <c r="A33" s="5" t="s">
        <v>42</v>
      </c>
      <c r="B33" s="1" t="s">
        <v>86</v>
      </c>
      <c r="C33" s="1">
        <v>18</v>
      </c>
    </row>
    <row r="34" spans="1:3" x14ac:dyDescent="0.3">
      <c r="A34" s="5" t="s">
        <v>43</v>
      </c>
      <c r="B34" s="1" t="s">
        <v>87</v>
      </c>
      <c r="C34" s="1">
        <v>17</v>
      </c>
    </row>
    <row r="35" spans="1:3" x14ac:dyDescent="0.3">
      <c r="A35" s="5" t="s">
        <v>44</v>
      </c>
      <c r="B35" s="1" t="s">
        <v>88</v>
      </c>
      <c r="C35" s="1">
        <v>25</v>
      </c>
    </row>
    <row r="36" spans="1:3" x14ac:dyDescent="0.3">
      <c r="A36" s="5" t="s">
        <v>45</v>
      </c>
      <c r="B36" s="1" t="s">
        <v>89</v>
      </c>
      <c r="C36" s="1">
        <v>21</v>
      </c>
    </row>
    <row r="37" spans="1:3" x14ac:dyDescent="0.3">
      <c r="A37" s="5" t="s">
        <v>46</v>
      </c>
      <c r="B37" s="1" t="s">
        <v>90</v>
      </c>
      <c r="C37" s="1">
        <v>5</v>
      </c>
    </row>
    <row r="38" spans="1:3" x14ac:dyDescent="0.3">
      <c r="A38" s="5" t="s">
        <v>47</v>
      </c>
      <c r="B38" s="1" t="s">
        <v>91</v>
      </c>
      <c r="C38" s="1">
        <v>23</v>
      </c>
    </row>
    <row r="39" spans="1:3" x14ac:dyDescent="0.3">
      <c r="A39" s="5" t="s">
        <v>48</v>
      </c>
      <c r="B39" s="1" t="s">
        <v>92</v>
      </c>
      <c r="C39" s="1">
        <v>19</v>
      </c>
    </row>
    <row r="40" spans="1:3" x14ac:dyDescent="0.3">
      <c r="A40" s="5" t="s">
        <v>49</v>
      </c>
      <c r="B40" s="1" t="s">
        <v>93</v>
      </c>
      <c r="C40" s="1">
        <v>17</v>
      </c>
    </row>
    <row r="41" spans="1:3" x14ac:dyDescent="0.3">
      <c r="A41" s="5" t="s">
        <v>50</v>
      </c>
      <c r="B41" s="1" t="s">
        <v>94</v>
      </c>
      <c r="C41" s="1">
        <v>16</v>
      </c>
    </row>
    <row r="42" spans="1:3" x14ac:dyDescent="0.3">
      <c r="A42" s="5" t="s">
        <v>51</v>
      </c>
      <c r="B42" s="1" t="s">
        <v>95</v>
      </c>
      <c r="C42" s="1">
        <v>0</v>
      </c>
    </row>
    <row r="43" spans="1:3" x14ac:dyDescent="0.3">
      <c r="A43" s="5" t="s">
        <v>52</v>
      </c>
      <c r="B43" s="1" t="s">
        <v>96</v>
      </c>
      <c r="C43" s="1">
        <v>21</v>
      </c>
    </row>
    <row r="44" spans="1:3" x14ac:dyDescent="0.3">
      <c r="A44" s="5" t="s">
        <v>53</v>
      </c>
      <c r="B44" s="1" t="s">
        <v>97</v>
      </c>
      <c r="C44" s="1">
        <v>19</v>
      </c>
    </row>
    <row r="45" spans="1:3" x14ac:dyDescent="0.3">
      <c r="A45" s="5" t="s">
        <v>54</v>
      </c>
      <c r="B45" s="1" t="s">
        <v>98</v>
      </c>
      <c r="C45" s="1">
        <v>10</v>
      </c>
    </row>
    <row r="46" spans="1:3" x14ac:dyDescent="0.3">
      <c r="A46" s="5" t="s">
        <v>55</v>
      </c>
      <c r="B46" s="1" t="s">
        <v>99</v>
      </c>
      <c r="C46" s="1">
        <v>18</v>
      </c>
    </row>
    <row r="47" spans="1:3" x14ac:dyDescent="0.3">
      <c r="A47" s="5" t="s">
        <v>258</v>
      </c>
      <c r="B47" s="1" t="s">
        <v>259</v>
      </c>
      <c r="C47" s="1">
        <v>40</v>
      </c>
    </row>
    <row r="48" spans="1:3" x14ac:dyDescent="0.3">
      <c r="A48" s="5" t="s">
        <v>260</v>
      </c>
      <c r="B48" s="1" t="s">
        <v>261</v>
      </c>
      <c r="C48" s="1">
        <v>41</v>
      </c>
    </row>
    <row r="49" spans="1:3" x14ac:dyDescent="0.3">
      <c r="A49" s="5" t="s">
        <v>262</v>
      </c>
      <c r="B49" s="1" t="s">
        <v>263</v>
      </c>
      <c r="C49" s="1">
        <v>25</v>
      </c>
    </row>
    <row r="50" spans="1:3" x14ac:dyDescent="0.3">
      <c r="A50" s="5" t="s">
        <v>264</v>
      </c>
      <c r="B50" s="1" t="s">
        <v>265</v>
      </c>
      <c r="C50" s="1">
        <v>40</v>
      </c>
    </row>
    <row r="51" spans="1:3" x14ac:dyDescent="0.3">
      <c r="A51" s="5" t="s">
        <v>266</v>
      </c>
      <c r="B51" s="1" t="s">
        <v>267</v>
      </c>
      <c r="C51" s="1">
        <v>50</v>
      </c>
    </row>
    <row r="52" spans="1:3" x14ac:dyDescent="0.3">
      <c r="A52" s="5" t="s">
        <v>271</v>
      </c>
      <c r="B52" s="1" t="s">
        <v>272</v>
      </c>
      <c r="C52" s="1">
        <v>12</v>
      </c>
    </row>
    <row r="53" spans="1:3" x14ac:dyDescent="0.3">
      <c r="A53" s="5"/>
    </row>
    <row r="54" spans="1:3" x14ac:dyDescent="0.3">
      <c r="A54" s="5"/>
    </row>
    <row r="55" spans="1:3" x14ac:dyDescent="0.3">
      <c r="A55" s="5"/>
    </row>
  </sheetData>
  <sheetProtection algorithmName="SHA-512" hashValue="bhzbKrI8YrG7pd39p5102bgPHkdXbox733EziwUOPVoc/2Bw8alSEk8G/xATLPt8c3iU+4XTnfuaPEO4/4oFwg==" saltValue="DwvpDHi2SJFoP8U7HYfd4w==" spinCount="100000" sheet="1" objects="1" scenarios="1"/>
  <customSheetViews>
    <customSheetView guid="{8DC053BE-EB89-4885-89A0-24C42D97A77D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FFE8592F-0ABA-4B06-8608-574265821AC0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6" type="noConversion"/>
  <conditionalFormatting sqref="C1:C46">
    <cfRule type="cellIs" dxfId="5" priority="2" operator="equal">
      <formula>0</formula>
    </cfRule>
    <cfRule type="cellIs" dxfId="4" priority="3" operator="equal">
      <formula>0</formula>
    </cfRule>
    <cfRule type="cellIs" dxfId="3" priority="4" operator="between">
      <formula>1</formula>
      <formula>10</formula>
    </cfRule>
    <cfRule type="cellIs" dxfId="2" priority="5" operator="equal">
      <formula>0</formula>
    </cfRule>
  </conditionalFormatting>
  <conditionalFormatting sqref="C1:C1048576">
    <cfRule type="cellIs" dxfId="1" priority="1" operator="between">
      <formula>1</formula>
      <formula>10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N23" sqref="N23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113</v>
      </c>
      <c r="B1">
        <v>1</v>
      </c>
    </row>
    <row r="2" spans="1:2" x14ac:dyDescent="0.3">
      <c r="A2" t="s">
        <v>114</v>
      </c>
      <c r="B2">
        <v>18</v>
      </c>
    </row>
    <row r="3" spans="1:2" x14ac:dyDescent="0.3">
      <c r="A3" t="s">
        <v>115</v>
      </c>
      <c r="B3">
        <v>235</v>
      </c>
    </row>
    <row r="6" spans="1:2" x14ac:dyDescent="0.3">
      <c r="A6" s="76" t="s">
        <v>121</v>
      </c>
      <c r="B6" s="76"/>
    </row>
    <row r="7" spans="1:2" x14ac:dyDescent="0.3">
      <c r="A7" t="s">
        <v>110</v>
      </c>
    </row>
    <row r="8" spans="1:2" x14ac:dyDescent="0.3">
      <c r="A8" t="s">
        <v>122</v>
      </c>
    </row>
  </sheetData>
  <sheetProtection algorithmName="SHA-512" hashValue="Wv3f+2xB2cTOs08QKk4bme1eI1XzoT5qakAZq2bmbmSOnAK74+qDFfWUmf0109VvQ/iikJTYbMAtHTNhuE//wQ==" saltValue="UhSZJaKShEEQQ1pFdwZl+Q==" spinCount="100000" sheet="1" objects="1" scenarios="1"/>
  <mergeCells count="1">
    <mergeCell ref="A6:B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FE92-79B7-4E21-962D-0DCBE57381FB}">
  <sheetPr codeName="Sheet1"/>
  <dimension ref="B1:C7"/>
  <sheetViews>
    <sheetView zoomScaleNormal="100" workbookViewId="0">
      <selection activeCell="I27" sqref="I27"/>
    </sheetView>
  </sheetViews>
  <sheetFormatPr defaultRowHeight="14.4" x14ac:dyDescent="0.3"/>
  <cols>
    <col min="2" max="2" width="13" customWidth="1"/>
    <col min="3" max="3" width="17" customWidth="1"/>
  </cols>
  <sheetData>
    <row r="1" spans="2:3" ht="15.6" x14ac:dyDescent="0.3">
      <c r="B1" s="6" t="s">
        <v>6</v>
      </c>
      <c r="C1" s="6" t="s">
        <v>155</v>
      </c>
    </row>
    <row r="2" spans="2:3" x14ac:dyDescent="0.3">
      <c r="B2" s="22">
        <v>44319</v>
      </c>
      <c r="C2">
        <v>200</v>
      </c>
    </row>
    <row r="3" spans="2:3" x14ac:dyDescent="0.3">
      <c r="B3" s="22">
        <v>44320</v>
      </c>
      <c r="C3">
        <v>473</v>
      </c>
    </row>
    <row r="4" spans="2:3" x14ac:dyDescent="0.3">
      <c r="B4" s="22">
        <v>44321</v>
      </c>
      <c r="C4">
        <v>1830</v>
      </c>
    </row>
    <row r="5" spans="2:3" x14ac:dyDescent="0.3">
      <c r="B5" s="22">
        <v>44322</v>
      </c>
      <c r="C5">
        <v>541</v>
      </c>
    </row>
    <row r="6" spans="2:3" x14ac:dyDescent="0.3">
      <c r="B6" s="22">
        <v>44323</v>
      </c>
      <c r="C6">
        <v>13</v>
      </c>
    </row>
    <row r="7" spans="2:3" x14ac:dyDescent="0.3">
      <c r="B7" s="22">
        <v>44324</v>
      </c>
      <c r="C7">
        <v>71</v>
      </c>
    </row>
  </sheetData>
  <sheetProtection algorithmName="SHA-512" hashValue="5B4PYJDeZStc6LhqS0MZ9IzjRg5QwyXzkU1ZT61kbMuU6PqptGiRo37dzw3Oy5mFhzDLWoDrFzHb5WMmpTk2xQ==" saltValue="TTAZwszF2+37Tlao4XI4Lw==" spinCount="100000" sheet="1" objects="1" scenarios="1"/>
  <conditionalFormatting sqref="B1:B1048576">
    <cfRule type="timePeriod" dxfId="0" priority="1" timePeriod="today">
      <formula>FLOOR(B1,1)=TODAY()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6DFC-230F-430F-A59B-842C877611A8}">
  <sheetPr codeName="stb_4"/>
  <dimension ref="A1:Q42"/>
  <sheetViews>
    <sheetView zoomScaleNormal="100" workbookViewId="0">
      <selection activeCell="M16" sqref="M16"/>
    </sheetView>
  </sheetViews>
  <sheetFormatPr defaultRowHeight="14.4" x14ac:dyDescent="0.3"/>
  <cols>
    <col min="1" max="1" width="6.77734375" style="23" customWidth="1"/>
    <col min="2" max="2" width="8.88671875" style="23"/>
    <col min="3" max="3" width="12.33203125" style="23" bestFit="1" customWidth="1"/>
    <col min="4" max="4" width="8.88671875" style="23"/>
    <col min="5" max="5" width="7.109375" style="23" customWidth="1"/>
    <col min="6" max="6" width="10.88671875" style="23" customWidth="1"/>
    <col min="7" max="7" width="9" style="23" customWidth="1"/>
    <col min="8" max="8" width="10.6640625" style="23" customWidth="1"/>
    <col min="9" max="13" width="8.88671875" style="23"/>
    <col min="14" max="14" width="8.88671875" style="23" customWidth="1"/>
    <col min="15" max="16" width="8.88671875" style="23"/>
    <col min="17" max="17" width="17.5546875" style="23" customWidth="1"/>
    <col min="18" max="16384" width="8.88671875" style="23"/>
  </cols>
  <sheetData>
    <row r="1" spans="1:17" ht="15" customHeight="1" thickTop="1" x14ac:dyDescent="0.3">
      <c r="A1" s="70" t="s">
        <v>0</v>
      </c>
      <c r="B1" s="71"/>
      <c r="C1" s="66" t="s">
        <v>1</v>
      </c>
      <c r="D1" s="66"/>
      <c r="E1" s="66"/>
      <c r="F1" s="66"/>
      <c r="G1" s="67"/>
      <c r="H1" s="62"/>
      <c r="I1" s="63"/>
    </row>
    <row r="2" spans="1:17" ht="15" customHeight="1" thickBot="1" x14ac:dyDescent="0.35">
      <c r="A2" s="72"/>
      <c r="B2" s="73"/>
      <c r="C2" s="68"/>
      <c r="D2" s="68"/>
      <c r="E2" s="68"/>
      <c r="F2" s="68"/>
      <c r="G2" s="69"/>
      <c r="H2" s="64"/>
      <c r="I2" s="65"/>
      <c r="J2" s="11"/>
      <c r="M2" s="52">
        <f>ALL_PRODUCTS!H7</f>
        <v>811</v>
      </c>
      <c r="N2" s="52"/>
      <c r="O2" s="52"/>
      <c r="P2" s="52"/>
      <c r="Q2" s="52"/>
    </row>
    <row r="3" spans="1:17" ht="15" thickTop="1" x14ac:dyDescent="0.3">
      <c r="C3" s="3"/>
      <c r="E3" s="3"/>
      <c r="F3" s="3"/>
      <c r="J3" s="11"/>
      <c r="M3" s="52"/>
      <c r="N3" s="52"/>
      <c r="O3" s="52"/>
      <c r="P3" s="52"/>
      <c r="Q3" s="52"/>
    </row>
    <row r="4" spans="1:17" x14ac:dyDescent="0.3">
      <c r="A4" s="33" t="s">
        <v>223</v>
      </c>
      <c r="B4" s="33"/>
      <c r="C4" s="33"/>
      <c r="G4" s="14" t="s">
        <v>107</v>
      </c>
      <c r="H4" s="55">
        <v>983515018</v>
      </c>
      <c r="I4" s="55"/>
      <c r="M4" s="52"/>
      <c r="N4" s="52"/>
      <c r="O4" s="52"/>
      <c r="P4" s="52"/>
      <c r="Q4" s="52"/>
    </row>
    <row r="5" spans="1:17" x14ac:dyDescent="0.3">
      <c r="A5" s="61" t="s">
        <v>104</v>
      </c>
      <c r="B5" s="61"/>
      <c r="C5" s="61"/>
      <c r="D5" s="61"/>
      <c r="G5" s="14" t="s">
        <v>108</v>
      </c>
      <c r="H5" s="55">
        <v>8084435969</v>
      </c>
      <c r="I5" s="55"/>
      <c r="M5" s="52"/>
      <c r="N5" s="52"/>
      <c r="O5" s="52"/>
      <c r="P5" s="52"/>
      <c r="Q5" s="52"/>
    </row>
    <row r="6" spans="1:17" x14ac:dyDescent="0.3">
      <c r="A6" s="61"/>
      <c r="B6" s="61"/>
      <c r="C6" s="61"/>
      <c r="D6" s="61"/>
      <c r="G6" s="14" t="s">
        <v>109</v>
      </c>
      <c r="H6" s="49" t="s">
        <v>242</v>
      </c>
      <c r="I6" s="49"/>
      <c r="M6" s="52"/>
      <c r="N6" s="52"/>
      <c r="O6" s="52"/>
      <c r="P6" s="52"/>
      <c r="Q6" s="52"/>
    </row>
    <row r="7" spans="1:17" x14ac:dyDescent="0.3">
      <c r="A7" s="61"/>
      <c r="B7" s="61"/>
      <c r="C7" s="61"/>
      <c r="D7" s="61"/>
      <c r="H7" s="49"/>
      <c r="I7" s="49"/>
      <c r="M7" s="51" t="s">
        <v>127</v>
      </c>
      <c r="N7" s="51"/>
      <c r="O7" s="51"/>
      <c r="P7" s="51"/>
      <c r="Q7" s="51"/>
    </row>
    <row r="8" spans="1:17" x14ac:dyDescent="0.3">
      <c r="A8" s="12"/>
      <c r="B8" s="12"/>
      <c r="C8" s="12"/>
      <c r="D8" s="12"/>
      <c r="G8" s="13" t="s">
        <v>105</v>
      </c>
      <c r="H8" s="59">
        <v>222</v>
      </c>
      <c r="I8" s="59"/>
      <c r="M8" s="51"/>
      <c r="N8" s="51"/>
      <c r="O8" s="51"/>
      <c r="P8" s="51"/>
      <c r="Q8" s="51"/>
    </row>
    <row r="9" spans="1:17" x14ac:dyDescent="0.3">
      <c r="A9" s="33" t="s">
        <v>221</v>
      </c>
      <c r="B9" s="33"/>
      <c r="G9" s="15" t="s">
        <v>106</v>
      </c>
      <c r="H9" s="47">
        <v>44321</v>
      </c>
      <c r="I9" s="48"/>
      <c r="M9" s="51"/>
      <c r="N9" s="51"/>
      <c r="O9" s="51"/>
      <c r="P9" s="51"/>
      <c r="Q9" s="51"/>
    </row>
    <row r="10" spans="1:17" x14ac:dyDescent="0.3">
      <c r="A10" s="32" t="s">
        <v>234</v>
      </c>
      <c r="B10" s="32"/>
      <c r="C10" s="32"/>
      <c r="M10" s="51"/>
      <c r="N10" s="51"/>
      <c r="O10" s="51"/>
      <c r="P10" s="51"/>
      <c r="Q10" s="51"/>
    </row>
    <row r="11" spans="1:17" x14ac:dyDescent="0.3">
      <c r="A11" s="46" t="s">
        <v>235</v>
      </c>
      <c r="B11" s="46"/>
      <c r="C11" s="46"/>
      <c r="D11" s="46"/>
      <c r="G11" s="14" t="s">
        <v>111</v>
      </c>
      <c r="H11" s="60" t="s">
        <v>112</v>
      </c>
      <c r="I11" s="60"/>
    </row>
    <row r="12" spans="1:17" x14ac:dyDescent="0.3">
      <c r="A12" s="46"/>
      <c r="B12" s="46"/>
      <c r="C12" s="46"/>
      <c r="D12" s="46"/>
      <c r="H12" s="4"/>
    </row>
    <row r="13" spans="1:17" x14ac:dyDescent="0.3">
      <c r="A13" s="24"/>
      <c r="B13" s="24"/>
      <c r="C13" s="24"/>
      <c r="D13" s="24"/>
      <c r="H13" s="4"/>
    </row>
    <row r="15" spans="1:17" x14ac:dyDescent="0.3">
      <c r="A15" s="10" t="s">
        <v>7</v>
      </c>
      <c r="B15" s="56" t="s">
        <v>8</v>
      </c>
      <c r="C15" s="57"/>
      <c r="D15" s="56" t="s">
        <v>239</v>
      </c>
      <c r="E15" s="57"/>
      <c r="F15" s="10" t="s">
        <v>2</v>
      </c>
      <c r="G15" s="10" t="s">
        <v>9</v>
      </c>
      <c r="H15" s="56" t="s">
        <v>240</v>
      </c>
      <c r="I15" s="57"/>
    </row>
    <row r="16" spans="1:17" x14ac:dyDescent="0.3">
      <c r="A16" s="16">
        <v>1</v>
      </c>
      <c r="B16" s="16" t="s">
        <v>56</v>
      </c>
      <c r="C16" s="16"/>
      <c r="D16" s="16">
        <v>4</v>
      </c>
      <c r="E16" s="16"/>
      <c r="F16" s="16">
        <v>4</v>
      </c>
      <c r="G16" s="16">
        <v>4</v>
      </c>
      <c r="H16" s="16">
        <f>PRODUCT(D16,F16)</f>
        <v>16</v>
      </c>
      <c r="I16" s="16"/>
    </row>
    <row r="17" spans="1:17" x14ac:dyDescent="0.3">
      <c r="A17" s="25"/>
      <c r="B17" s="50" t="s">
        <v>241</v>
      </c>
      <c r="C17" s="50"/>
      <c r="D17" s="25"/>
      <c r="E17" s="25"/>
      <c r="F17" s="25"/>
      <c r="G17" s="25"/>
      <c r="H17" s="25">
        <f>SUM(H16)</f>
        <v>16</v>
      </c>
      <c r="I17" s="25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40" t="s">
        <v>124</v>
      </c>
      <c r="G20" s="41"/>
      <c r="H20" s="37">
        <f>H17</f>
        <v>16</v>
      </c>
      <c r="I20" s="37"/>
      <c r="M20" s="53"/>
      <c r="N20" s="53"/>
      <c r="O20" s="53"/>
      <c r="P20" s="53"/>
      <c r="Q20" s="53"/>
    </row>
    <row r="21" spans="1:17" x14ac:dyDescent="0.3">
      <c r="A21" s="34" t="s">
        <v>121</v>
      </c>
      <c r="B21" s="35"/>
      <c r="C21" s="36"/>
      <c r="D21" s="18" t="s">
        <v>110</v>
      </c>
      <c r="F21" s="42" t="s">
        <v>225</v>
      </c>
      <c r="G21" s="43"/>
      <c r="H21" s="38">
        <v>8</v>
      </c>
      <c r="I21" s="38"/>
      <c r="M21" s="53"/>
      <c r="N21" s="53"/>
      <c r="O21" s="53"/>
      <c r="P21" s="53"/>
      <c r="Q21" s="53"/>
    </row>
    <row r="22" spans="1:17" ht="23.4" x14ac:dyDescent="0.45">
      <c r="A22" s="33" t="s">
        <v>116</v>
      </c>
      <c r="B22" s="33"/>
      <c r="C22" s="33"/>
      <c r="F22" s="44" t="s">
        <v>238</v>
      </c>
      <c r="G22" s="45"/>
      <c r="H22" s="39">
        <f>SUM(H20-H21)</f>
        <v>8</v>
      </c>
      <c r="I22" s="39"/>
    </row>
    <row r="25" spans="1:17" x14ac:dyDescent="0.3">
      <c r="A25" s="33"/>
      <c r="B25" s="33"/>
      <c r="C25" s="33"/>
    </row>
    <row r="29" spans="1:17" x14ac:dyDescent="0.3">
      <c r="A29" s="54" t="s">
        <v>222</v>
      </c>
      <c r="B29" s="54"/>
      <c r="C29" s="54"/>
      <c r="D29" s="54"/>
      <c r="E29" s="54"/>
      <c r="F29" s="54"/>
      <c r="G29" s="54"/>
    </row>
    <row r="42" spans="1:9" x14ac:dyDescent="0.3">
      <c r="A42" s="32" t="s">
        <v>176</v>
      </c>
      <c r="B42" s="32"/>
      <c r="H42" s="32" t="s">
        <v>177</v>
      </c>
      <c r="I42" s="32"/>
    </row>
  </sheetData>
  <sheetProtection algorithmName="SHA-512" hashValue="juaAteGFosWSPFfPjkUtlGQDJGfJv72Ubd1KDdoUYUt2R5sk0+Gn3Dt9JmOgTKddkvzuVwY1biM3VwrV8UMmpg==" saltValue="tug1a2408HTvBtpm9zxxKQ==" spinCount="100000" sheet="1" objects="1" scenarios="1"/>
  <mergeCells count="33">
    <mergeCell ref="M2:Q6"/>
    <mergeCell ref="A4:C4"/>
    <mergeCell ref="H4:I4"/>
    <mergeCell ref="A5:D7"/>
    <mergeCell ref="H5:I5"/>
    <mergeCell ref="H6:I7"/>
    <mergeCell ref="M7:Q10"/>
    <mergeCell ref="H8:I8"/>
    <mergeCell ref="A9:B9"/>
    <mergeCell ref="H9:I9"/>
    <mergeCell ref="A10:C10"/>
    <mergeCell ref="A29:G29"/>
    <mergeCell ref="A11:D12"/>
    <mergeCell ref="H11:I11"/>
    <mergeCell ref="A1:B2"/>
    <mergeCell ref="C1:G2"/>
    <mergeCell ref="H1:I2"/>
    <mergeCell ref="M20:Q21"/>
    <mergeCell ref="H15:I15"/>
    <mergeCell ref="D15:E15"/>
    <mergeCell ref="B15:C15"/>
    <mergeCell ref="A42:B42"/>
    <mergeCell ref="H42:I42"/>
    <mergeCell ref="A21:C21"/>
    <mergeCell ref="F21:G21"/>
    <mergeCell ref="H21:I21"/>
    <mergeCell ref="A22:C22"/>
    <mergeCell ref="F22:G22"/>
    <mergeCell ref="H22:I22"/>
    <mergeCell ref="B17:C17"/>
    <mergeCell ref="F20:G20"/>
    <mergeCell ref="H20:I20"/>
    <mergeCell ref="A25:C25"/>
  </mergeCells>
  <hyperlinks>
    <hyperlink ref="H6" r:id="rId1" xr:uid="{736AE729-74E3-47E6-8873-A145D6AB8C06}"/>
  </hyperlink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39C8F-FA8D-4A5C-B385-B0DFAD14F424}">
  <sheetPr codeName="stb_3"/>
  <dimension ref="A1:Q42"/>
  <sheetViews>
    <sheetView zoomScaleNormal="100" workbookViewId="0">
      <selection activeCell="G16" sqref="G16"/>
    </sheetView>
  </sheetViews>
  <sheetFormatPr defaultRowHeight="14.4" x14ac:dyDescent="0.3"/>
  <cols>
    <col min="1" max="1" width="6.77734375" style="30" customWidth="1"/>
    <col min="2" max="2" width="8.88671875" style="30"/>
    <col min="3" max="3" width="12.33203125" style="30" bestFit="1" customWidth="1"/>
    <col min="4" max="4" width="8.88671875" style="30"/>
    <col min="5" max="5" width="7.109375" style="30" customWidth="1"/>
    <col min="6" max="6" width="10.88671875" style="30" customWidth="1"/>
    <col min="7" max="7" width="9" style="30" customWidth="1"/>
    <col min="8" max="8" width="10.6640625" style="30" customWidth="1"/>
    <col min="9" max="13" width="8.88671875" style="30"/>
    <col min="14" max="14" width="8.88671875" style="30" customWidth="1"/>
    <col min="15" max="16" width="8.88671875" style="30"/>
    <col min="17" max="17" width="17.5546875" style="30" customWidth="1"/>
    <col min="18" max="16384" width="8.88671875" style="30"/>
  </cols>
  <sheetData>
    <row r="1" spans="1:17" ht="15" customHeight="1" thickTop="1" x14ac:dyDescent="0.3">
      <c r="A1" s="70" t="s">
        <v>0</v>
      </c>
      <c r="B1" s="71"/>
      <c r="C1" s="66" t="s">
        <v>1</v>
      </c>
      <c r="D1" s="66"/>
      <c r="E1" s="66"/>
      <c r="F1" s="66"/>
      <c r="G1" s="67"/>
      <c r="H1" s="62"/>
      <c r="I1" s="63"/>
    </row>
    <row r="2" spans="1:17" ht="15" customHeight="1" thickBot="1" x14ac:dyDescent="0.35">
      <c r="A2" s="72"/>
      <c r="B2" s="73"/>
      <c r="C2" s="68"/>
      <c r="D2" s="68"/>
      <c r="E2" s="68"/>
      <c r="F2" s="68"/>
      <c r="G2" s="69"/>
      <c r="H2" s="64"/>
      <c r="I2" s="65"/>
      <c r="J2" s="11"/>
      <c r="M2" s="52">
        <f>ALL_PRODUCTS!H7</f>
        <v>811</v>
      </c>
      <c r="N2" s="52"/>
      <c r="O2" s="52"/>
      <c r="P2" s="52"/>
      <c r="Q2" s="52"/>
    </row>
    <row r="3" spans="1:17" ht="15" thickTop="1" x14ac:dyDescent="0.3">
      <c r="C3" s="3"/>
      <c r="E3" s="3"/>
      <c r="F3" s="3"/>
      <c r="J3" s="11"/>
      <c r="M3" s="52"/>
      <c r="N3" s="52"/>
      <c r="O3" s="52"/>
      <c r="P3" s="52"/>
      <c r="Q3" s="52"/>
    </row>
    <row r="4" spans="1:17" x14ac:dyDescent="0.3">
      <c r="A4" s="33" t="s">
        <v>223</v>
      </c>
      <c r="B4" s="33"/>
      <c r="C4" s="33"/>
      <c r="G4" s="14" t="s">
        <v>107</v>
      </c>
      <c r="H4" s="55">
        <v>983515018</v>
      </c>
      <c r="I4" s="55"/>
      <c r="M4" s="52"/>
      <c r="N4" s="52"/>
      <c r="O4" s="52"/>
      <c r="P4" s="52"/>
      <c r="Q4" s="52"/>
    </row>
    <row r="5" spans="1:17" x14ac:dyDescent="0.3">
      <c r="A5" s="61" t="s">
        <v>104</v>
      </c>
      <c r="B5" s="61"/>
      <c r="C5" s="61"/>
      <c r="D5" s="61"/>
      <c r="G5" s="14" t="s">
        <v>108</v>
      </c>
      <c r="H5" s="55">
        <v>8084435969</v>
      </c>
      <c r="I5" s="55"/>
      <c r="M5" s="52"/>
      <c r="N5" s="52"/>
      <c r="O5" s="52"/>
      <c r="P5" s="52"/>
      <c r="Q5" s="52"/>
    </row>
    <row r="6" spans="1:17" x14ac:dyDescent="0.3">
      <c r="A6" s="61"/>
      <c r="B6" s="61"/>
      <c r="C6" s="61"/>
      <c r="D6" s="61"/>
      <c r="G6" s="14" t="s">
        <v>109</v>
      </c>
      <c r="H6" s="49" t="s">
        <v>242</v>
      </c>
      <c r="I6" s="49"/>
      <c r="M6" s="52"/>
      <c r="N6" s="52"/>
      <c r="O6" s="52"/>
      <c r="P6" s="52"/>
      <c r="Q6" s="52"/>
    </row>
    <row r="7" spans="1:17" x14ac:dyDescent="0.3">
      <c r="A7" s="61"/>
      <c r="B7" s="61"/>
      <c r="C7" s="61"/>
      <c r="D7" s="61"/>
      <c r="H7" s="49"/>
      <c r="I7" s="49"/>
      <c r="M7" s="51" t="s">
        <v>127</v>
      </c>
      <c r="N7" s="51"/>
      <c r="O7" s="51"/>
      <c r="P7" s="51"/>
      <c r="Q7" s="51"/>
    </row>
    <row r="8" spans="1:17" x14ac:dyDescent="0.3">
      <c r="A8" s="12"/>
      <c r="B8" s="12"/>
      <c r="C8" s="12"/>
      <c r="D8" s="12"/>
      <c r="G8" s="13" t="s">
        <v>105</v>
      </c>
      <c r="H8" s="59">
        <v>227</v>
      </c>
      <c r="I8" s="59"/>
      <c r="M8" s="51"/>
      <c r="N8" s="51"/>
      <c r="O8" s="51"/>
      <c r="P8" s="51"/>
      <c r="Q8" s="51"/>
    </row>
    <row r="9" spans="1:17" x14ac:dyDescent="0.3">
      <c r="A9" s="33" t="s">
        <v>221</v>
      </c>
      <c r="B9" s="33"/>
      <c r="G9" s="15" t="s">
        <v>106</v>
      </c>
      <c r="H9" s="47">
        <v>44321</v>
      </c>
      <c r="I9" s="48"/>
      <c r="M9" s="51"/>
      <c r="N9" s="51"/>
      <c r="O9" s="51"/>
      <c r="P9" s="51"/>
      <c r="Q9" s="51"/>
    </row>
    <row r="10" spans="1:17" x14ac:dyDescent="0.3">
      <c r="A10" s="32" t="s">
        <v>252</v>
      </c>
      <c r="B10" s="32"/>
      <c r="C10" s="32"/>
      <c r="M10" s="51"/>
      <c r="N10" s="51"/>
      <c r="O10" s="51"/>
      <c r="P10" s="51"/>
      <c r="Q10" s="51"/>
    </row>
    <row r="11" spans="1:17" x14ac:dyDescent="0.3">
      <c r="A11" s="46" t="s">
        <v>253</v>
      </c>
      <c r="B11" s="46"/>
      <c r="C11" s="46"/>
      <c r="D11" s="46"/>
      <c r="G11" s="14" t="s">
        <v>111</v>
      </c>
      <c r="H11" s="60" t="s">
        <v>112</v>
      </c>
      <c r="I11" s="60"/>
    </row>
    <row r="12" spans="1:17" x14ac:dyDescent="0.3">
      <c r="A12" s="46"/>
      <c r="B12" s="46"/>
      <c r="C12" s="46"/>
      <c r="D12" s="46"/>
      <c r="H12" s="4"/>
    </row>
    <row r="13" spans="1:17" x14ac:dyDescent="0.3">
      <c r="A13" s="29"/>
      <c r="B13" s="29"/>
      <c r="C13" s="29"/>
      <c r="D13" s="29"/>
      <c r="H13" s="4"/>
    </row>
    <row r="15" spans="1:17" x14ac:dyDescent="0.3">
      <c r="A15" s="10" t="s">
        <v>7</v>
      </c>
      <c r="B15" s="56" t="s">
        <v>8</v>
      </c>
      <c r="C15" s="57"/>
      <c r="D15" s="56" t="s">
        <v>239</v>
      </c>
      <c r="E15" s="57"/>
      <c r="F15" s="10" t="s">
        <v>2</v>
      </c>
      <c r="G15" s="10" t="s">
        <v>9</v>
      </c>
      <c r="H15" s="56" t="s">
        <v>240</v>
      </c>
      <c r="I15" s="57"/>
    </row>
    <row r="16" spans="1:17" x14ac:dyDescent="0.3">
      <c r="A16" s="16">
        <v>3</v>
      </c>
      <c r="B16" s="16" t="s">
        <v>58</v>
      </c>
      <c r="C16" s="16"/>
      <c r="D16" s="16">
        <v>200</v>
      </c>
      <c r="E16" s="16"/>
      <c r="F16" s="16">
        <v>2</v>
      </c>
      <c r="G16" s="16">
        <v>2</v>
      </c>
      <c r="H16" s="16">
        <v>400</v>
      </c>
      <c r="I16" s="16"/>
    </row>
    <row r="17" spans="1:17" x14ac:dyDescent="0.3">
      <c r="A17" s="26"/>
      <c r="B17" s="50" t="s">
        <v>241</v>
      </c>
      <c r="C17" s="50"/>
      <c r="D17" s="26"/>
      <c r="E17" s="26"/>
      <c r="F17" s="26"/>
      <c r="G17" s="26"/>
      <c r="H17" s="26">
        <v>400</v>
      </c>
      <c r="I17" s="26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40" t="s">
        <v>124</v>
      </c>
      <c r="G20" s="41"/>
      <c r="H20" s="37">
        <v>400</v>
      </c>
      <c r="I20" s="37"/>
      <c r="M20" s="53"/>
      <c r="N20" s="53"/>
      <c r="O20" s="53"/>
      <c r="P20" s="53"/>
      <c r="Q20" s="53"/>
    </row>
    <row r="21" spans="1:17" x14ac:dyDescent="0.3">
      <c r="A21" s="34" t="s">
        <v>121</v>
      </c>
      <c r="B21" s="35"/>
      <c r="C21" s="36"/>
      <c r="D21" s="18" t="s">
        <v>110</v>
      </c>
      <c r="F21" s="42" t="s">
        <v>254</v>
      </c>
      <c r="G21" s="43"/>
      <c r="H21" s="38">
        <v>80</v>
      </c>
      <c r="I21" s="38"/>
      <c r="M21" s="53"/>
      <c r="N21" s="53"/>
      <c r="O21" s="53"/>
      <c r="P21" s="53"/>
      <c r="Q21" s="53"/>
    </row>
    <row r="22" spans="1:17" ht="23.4" x14ac:dyDescent="0.45">
      <c r="A22" s="33" t="s">
        <v>116</v>
      </c>
      <c r="B22" s="33"/>
      <c r="C22" s="33"/>
      <c r="F22" s="44" t="s">
        <v>238</v>
      </c>
      <c r="G22" s="45"/>
      <c r="H22" s="39">
        <v>320</v>
      </c>
      <c r="I22" s="39"/>
    </row>
    <row r="25" spans="1:17" x14ac:dyDescent="0.3">
      <c r="A25" s="33"/>
      <c r="B25" s="33"/>
      <c r="C25" s="33"/>
    </row>
    <row r="29" spans="1:17" x14ac:dyDescent="0.3">
      <c r="A29" s="54" t="s">
        <v>222</v>
      </c>
      <c r="B29" s="54"/>
      <c r="C29" s="54"/>
      <c r="D29" s="54"/>
      <c r="E29" s="54"/>
      <c r="F29" s="54"/>
      <c r="G29" s="54"/>
    </row>
    <row r="42" spans="1:9" x14ac:dyDescent="0.3">
      <c r="A42" s="32" t="s">
        <v>176</v>
      </c>
      <c r="B42" s="32"/>
      <c r="H42" s="32" t="s">
        <v>177</v>
      </c>
      <c r="I42" s="32"/>
    </row>
  </sheetData>
  <sheetProtection algorithmName="SHA-512" hashValue="dV5V0+2cR6CsvaDJmKoNpCtzdSs8nTvtaXmJKgvWXVdAp7mWYLPNKZ9YeC4tZoAC560hxe41TuWdTtlfq8oTnw==" saltValue="mbjIQEua+TvS6j8T2Pln8A==" spinCount="100000" sheet="1" objects="1" scenarios="1"/>
  <mergeCells count="33">
    <mergeCell ref="A42:B42"/>
    <mergeCell ref="H42:I42"/>
    <mergeCell ref="M20:Q21"/>
    <mergeCell ref="A21:C21"/>
    <mergeCell ref="F21:G21"/>
    <mergeCell ref="H21:I21"/>
    <mergeCell ref="A22:C22"/>
    <mergeCell ref="F22:G22"/>
    <mergeCell ref="H22:I22"/>
    <mergeCell ref="B17:C17"/>
    <mergeCell ref="F20:G20"/>
    <mergeCell ref="H20:I20"/>
    <mergeCell ref="A25:C25"/>
    <mergeCell ref="A29:G29"/>
    <mergeCell ref="A11:D12"/>
    <mergeCell ref="H11:I11"/>
    <mergeCell ref="B15:C15"/>
    <mergeCell ref="D15:E15"/>
    <mergeCell ref="H15:I15"/>
    <mergeCell ref="A1:B2"/>
    <mergeCell ref="C1:G2"/>
    <mergeCell ref="H1:I2"/>
    <mergeCell ref="M2:Q6"/>
    <mergeCell ref="A4:C4"/>
    <mergeCell ref="H4:I4"/>
    <mergeCell ref="A5:D7"/>
    <mergeCell ref="H5:I5"/>
    <mergeCell ref="H6:I7"/>
    <mergeCell ref="M7:Q10"/>
    <mergeCell ref="H8:I8"/>
    <mergeCell ref="A9:B9"/>
    <mergeCell ref="H9:I9"/>
    <mergeCell ref="A10:C10"/>
  </mergeCells>
  <hyperlinks>
    <hyperlink ref="H6" r:id="rId1" xr:uid="{71F8856D-6A49-44E2-A8E3-D5D5FD5376B5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INVOICE</vt:lpstr>
      <vt:lpstr>PATIENT_DETAILS</vt:lpstr>
      <vt:lpstr>ALL_PRODUCTS</vt:lpstr>
      <vt:lpstr>LAST_DATA</vt:lpstr>
      <vt:lpstr>BILL_DETAILS</vt:lpstr>
      <vt:lpstr>RAW_BILL</vt:lpstr>
      <vt:lpstr>INVOICE_BACKUP</vt:lpstr>
      <vt:lpstr>all_code</vt:lpstr>
      <vt:lpstr>all_p</vt:lpstr>
      <vt:lpstr>all_p2</vt:lpstr>
      <vt:lpstr>p_mode</vt:lpstr>
      <vt:lpstr>INVOICE_BACKUP!payment_mode</vt:lpstr>
      <vt:lpstr>RAW_BILL!payment_mode</vt:lpstr>
      <vt:lpstr>payment_mode</vt:lpstr>
      <vt:lpstr>INVOICE!Print_Area</vt:lpstr>
      <vt:lpstr>INVOICE_BACKUP!Print_Area</vt:lpstr>
      <vt:lpstr>PATIENT_DETAILS!Print_Area</vt:lpstr>
      <vt:lpstr>RAW_BILL!Print_Area</vt:lpstr>
      <vt:lpstr>pro_all_show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2021-05-08T08:35:42Z</cp:lastPrinted>
  <dcterms:created xsi:type="dcterms:W3CDTF">2021-04-07T08:23:00Z</dcterms:created>
  <dcterms:modified xsi:type="dcterms:W3CDTF">2021-05-08T08:37:52Z</dcterms:modified>
</cp:coreProperties>
</file>